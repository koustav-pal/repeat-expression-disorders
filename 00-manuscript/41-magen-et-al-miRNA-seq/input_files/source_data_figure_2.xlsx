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Iddo\Documents\Papers\Biomarker papers\ALS\May 2021 Nat Neurosci Submission\Figures and tables\"/>
    </mc:Choice>
  </mc:AlternateContent>
  <bookViews>
    <workbookView xWindow="0" yWindow="0" windowWidth="28800" windowHeight="10500" activeTab="1"/>
  </bookViews>
  <sheets>
    <sheet name="Fig_2A_B Fig_S4" sheetId="1" r:id="rId1"/>
    <sheet name="Fig_2_C" sheetId="3" r:id="rId2"/>
    <sheet name="Fig_2_D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G3" i="1"/>
  <c r="L3" i="1"/>
  <c r="O3" i="1"/>
  <c r="D4" i="1"/>
  <c r="G4" i="1"/>
  <c r="L4" i="1"/>
  <c r="O4" i="1"/>
  <c r="D5" i="1"/>
  <c r="G5" i="1"/>
  <c r="L5" i="1"/>
  <c r="O5" i="1"/>
  <c r="D6" i="1"/>
  <c r="G6" i="1"/>
  <c r="L6" i="1"/>
  <c r="O6" i="1"/>
  <c r="D7" i="1"/>
  <c r="G7" i="1"/>
  <c r="L7" i="1"/>
  <c r="O7" i="1"/>
  <c r="D8" i="1"/>
  <c r="G8" i="1"/>
  <c r="L8" i="1"/>
  <c r="O8" i="1"/>
  <c r="D9" i="1"/>
  <c r="G9" i="1"/>
  <c r="L9" i="1"/>
  <c r="O9" i="1"/>
  <c r="D10" i="1"/>
  <c r="G10" i="1"/>
  <c r="L10" i="1"/>
  <c r="O10" i="1"/>
  <c r="D11" i="1"/>
  <c r="G11" i="1"/>
  <c r="L11" i="1"/>
  <c r="O11" i="1"/>
  <c r="D12" i="1"/>
  <c r="G12" i="1"/>
  <c r="L12" i="1"/>
  <c r="O12" i="1"/>
  <c r="D13" i="1"/>
  <c r="G13" i="1"/>
  <c r="L13" i="1"/>
  <c r="O13" i="1"/>
  <c r="D14" i="1"/>
  <c r="G14" i="1"/>
  <c r="L14" i="1"/>
  <c r="O14" i="1"/>
  <c r="D15" i="1"/>
  <c r="G15" i="1"/>
  <c r="L15" i="1"/>
  <c r="O15" i="1"/>
  <c r="D16" i="1"/>
  <c r="G16" i="1"/>
  <c r="L16" i="1"/>
  <c r="O16" i="1"/>
  <c r="D17" i="1"/>
  <c r="G17" i="1"/>
  <c r="L17" i="1"/>
  <c r="O17" i="1"/>
  <c r="D18" i="1"/>
  <c r="G18" i="1"/>
  <c r="L18" i="1"/>
  <c r="O18" i="1"/>
  <c r="D19" i="1"/>
  <c r="G19" i="1"/>
  <c r="L19" i="1"/>
  <c r="O19" i="1"/>
  <c r="D20" i="1"/>
  <c r="G20" i="1"/>
  <c r="L20" i="1"/>
  <c r="O20" i="1"/>
  <c r="D21" i="1"/>
  <c r="G21" i="1"/>
  <c r="L21" i="1"/>
  <c r="O21" i="1"/>
  <c r="D22" i="1"/>
  <c r="G22" i="1"/>
  <c r="L22" i="1"/>
  <c r="O22" i="1"/>
  <c r="D23" i="1"/>
  <c r="G23" i="1"/>
  <c r="L23" i="1"/>
  <c r="O23" i="1"/>
  <c r="D24" i="1"/>
  <c r="G24" i="1"/>
  <c r="L24" i="1"/>
  <c r="O24" i="1"/>
  <c r="D25" i="1"/>
  <c r="G25" i="1"/>
  <c r="L25" i="1"/>
  <c r="O25" i="1"/>
  <c r="D26" i="1"/>
  <c r="G26" i="1"/>
  <c r="L26" i="1"/>
  <c r="O26" i="1"/>
  <c r="D27" i="1"/>
  <c r="G27" i="1"/>
  <c r="L27" i="1"/>
  <c r="O27" i="1"/>
  <c r="D28" i="1"/>
  <c r="G28" i="1"/>
  <c r="L28" i="1"/>
  <c r="O28" i="1"/>
  <c r="D29" i="1"/>
  <c r="G29" i="1"/>
  <c r="L29" i="1"/>
  <c r="O29" i="1"/>
  <c r="D30" i="1"/>
  <c r="G30" i="1"/>
  <c r="L30" i="1"/>
  <c r="O30" i="1"/>
  <c r="D31" i="1"/>
  <c r="G31" i="1"/>
  <c r="L31" i="1"/>
  <c r="O31" i="1"/>
  <c r="D32" i="1"/>
  <c r="G32" i="1"/>
  <c r="L32" i="1"/>
  <c r="O32" i="1"/>
  <c r="D33" i="1"/>
  <c r="G33" i="1"/>
  <c r="L33" i="1"/>
  <c r="O33" i="1"/>
  <c r="D34" i="1"/>
  <c r="G34" i="1"/>
  <c r="L34" i="1"/>
  <c r="O34" i="1"/>
  <c r="D35" i="1"/>
  <c r="G35" i="1"/>
  <c r="L35" i="1"/>
  <c r="O35" i="1"/>
  <c r="D36" i="1"/>
  <c r="G36" i="1"/>
  <c r="L36" i="1"/>
  <c r="O36" i="1"/>
  <c r="D37" i="1"/>
  <c r="G37" i="1"/>
  <c r="L37" i="1"/>
  <c r="O37" i="1"/>
  <c r="D38" i="1"/>
  <c r="G38" i="1"/>
  <c r="L38" i="1"/>
  <c r="O38" i="1"/>
  <c r="D39" i="1"/>
  <c r="G39" i="1"/>
  <c r="D40" i="1"/>
  <c r="G40" i="1"/>
  <c r="D41" i="1"/>
  <c r="G41" i="1"/>
  <c r="D42" i="1"/>
  <c r="G42" i="1"/>
  <c r="D43" i="1"/>
  <c r="G43" i="1"/>
  <c r="D44" i="1"/>
  <c r="G44" i="1"/>
  <c r="D45" i="1"/>
  <c r="G45" i="1"/>
  <c r="D46" i="1"/>
  <c r="G46" i="1"/>
  <c r="D47" i="1"/>
  <c r="G47" i="1"/>
  <c r="D48" i="1"/>
  <c r="G48" i="1"/>
  <c r="D49" i="1"/>
  <c r="G49" i="1"/>
  <c r="D50" i="1"/>
  <c r="G50" i="1"/>
  <c r="D51" i="1"/>
  <c r="G51" i="1"/>
  <c r="D52" i="1"/>
  <c r="G52" i="1"/>
  <c r="D53" i="1"/>
  <c r="G53" i="1"/>
  <c r="D54" i="1"/>
  <c r="G54" i="1"/>
  <c r="D55" i="1"/>
  <c r="G55" i="1"/>
  <c r="D56" i="1"/>
  <c r="G56" i="1"/>
  <c r="D57" i="1"/>
  <c r="G57" i="1"/>
  <c r="D58" i="1"/>
  <c r="G58" i="1"/>
  <c r="D59" i="1"/>
  <c r="G59" i="1"/>
  <c r="D60" i="1"/>
  <c r="G60" i="1"/>
  <c r="D61" i="1"/>
  <c r="G61" i="1"/>
  <c r="D62" i="1"/>
  <c r="G62" i="1"/>
  <c r="D63" i="1"/>
  <c r="G63" i="1"/>
  <c r="D64" i="1"/>
  <c r="G64" i="1"/>
  <c r="D65" i="1"/>
  <c r="G65" i="1"/>
  <c r="D66" i="1"/>
  <c r="G66" i="1"/>
  <c r="D67" i="1"/>
  <c r="G67" i="1"/>
  <c r="D68" i="1"/>
  <c r="G68" i="1"/>
  <c r="D69" i="1"/>
  <c r="G69" i="1"/>
  <c r="D70" i="1"/>
  <c r="G70" i="1"/>
  <c r="D71" i="1"/>
  <c r="G71" i="1"/>
  <c r="D72" i="1"/>
  <c r="G72" i="1"/>
  <c r="D73" i="1"/>
  <c r="G73" i="1"/>
  <c r="D74" i="1"/>
  <c r="G74" i="1"/>
  <c r="D75" i="1"/>
  <c r="G75" i="1"/>
  <c r="D76" i="1"/>
  <c r="G76" i="1"/>
  <c r="D77" i="1"/>
  <c r="G77" i="1"/>
  <c r="D78" i="1"/>
  <c r="G78" i="1"/>
  <c r="D79" i="1"/>
  <c r="G79" i="1"/>
  <c r="D80" i="1"/>
  <c r="G80" i="1"/>
  <c r="D81" i="1"/>
  <c r="G81" i="1"/>
  <c r="D82" i="1"/>
  <c r="G82" i="1"/>
  <c r="D83" i="1"/>
  <c r="G83" i="1"/>
  <c r="D84" i="1"/>
  <c r="G84" i="1"/>
  <c r="D85" i="1"/>
  <c r="G85" i="1"/>
  <c r="D86" i="1"/>
  <c r="G86" i="1"/>
  <c r="D87" i="1"/>
  <c r="G87" i="1"/>
  <c r="D88" i="1"/>
  <c r="G88" i="1"/>
  <c r="D89" i="1"/>
  <c r="G89" i="1"/>
</calcChain>
</file>

<file path=xl/sharedStrings.xml><?xml version="1.0" encoding="utf-8"?>
<sst xmlns="http://schemas.openxmlformats.org/spreadsheetml/2006/main" count="206" uniqueCount="195">
  <si>
    <t>hsa-miR-99b-5p</t>
  </si>
  <si>
    <t>hsa-miR-98-5p</t>
  </si>
  <si>
    <t>hsa-miR-93-5p</t>
  </si>
  <si>
    <t>hsa-miR-744-5p</t>
  </si>
  <si>
    <t>hsa-miR-7-5p</t>
  </si>
  <si>
    <t>hsa-miR-664a-5p</t>
  </si>
  <si>
    <t>hsa-miR-629-5p</t>
  </si>
  <si>
    <t>hsa-miR-628-3p</t>
  </si>
  <si>
    <t>hsa-miR-625-5p</t>
  </si>
  <si>
    <t>hsa-miR-625-3p</t>
  </si>
  <si>
    <t>hsa-miR-584-5p</t>
  </si>
  <si>
    <t>hsa-miR-532-5p</t>
  </si>
  <si>
    <t>hsa-miR-4433b-5p</t>
  </si>
  <si>
    <t>hsa-miR-432-5p</t>
  </si>
  <si>
    <t>hsa-miR-425-5p</t>
  </si>
  <si>
    <t>hsa-miR-423-3p</t>
  </si>
  <si>
    <t>hsa-miR-409-3p</t>
  </si>
  <si>
    <t>hsa-miR-382-5p</t>
  </si>
  <si>
    <t>hsa-miR-379-5p</t>
  </si>
  <si>
    <t>hsa-miR-378a-3p</t>
  </si>
  <si>
    <t>hsa-miR-370-3p</t>
  </si>
  <si>
    <t>hsa-miR-3615</t>
  </si>
  <si>
    <t>hsa-miR-361-3p</t>
  </si>
  <si>
    <t>hsa-miR-34a-5p</t>
  </si>
  <si>
    <t>hsa-miR-342-3p</t>
  </si>
  <si>
    <t>hsa-miR-340-5p</t>
  </si>
  <si>
    <t>hsa-miR-339-5p</t>
  </si>
  <si>
    <t>hsa-miR-339-3p</t>
  </si>
  <si>
    <t>hsa-miR-328-3p</t>
  </si>
  <si>
    <t>hsa-miR-326</t>
  </si>
  <si>
    <t>hsa-miR-320c</t>
  </si>
  <si>
    <t>hsa-miR-320b</t>
  </si>
  <si>
    <t>hsa-miR-320a</t>
  </si>
  <si>
    <t>hsa-miR-29c-3p</t>
  </si>
  <si>
    <t>hsa-miR-29b-3p</t>
  </si>
  <si>
    <t>hsa-miR-29a-3p</t>
  </si>
  <si>
    <t>hsa-miR-28-3p</t>
  </si>
  <si>
    <t>hsa-miR-26b-5p</t>
  </si>
  <si>
    <t>hsa-miR-26a-5p</t>
  </si>
  <si>
    <t>hsa-miR-25-3p</t>
  </si>
  <si>
    <t>hsa-miR-24-3p</t>
  </si>
  <si>
    <t>hsa-miR-23b-3p</t>
  </si>
  <si>
    <t>hsa-miR-23a-3p</t>
  </si>
  <si>
    <t>hsa-miR-22-3p</t>
  </si>
  <si>
    <t>hsa-miR-223-5p</t>
  </si>
  <si>
    <t>hsa-miR-223-3p</t>
  </si>
  <si>
    <t>hsa-miR-20b-5p</t>
  </si>
  <si>
    <t>hsa-miR-19b-3p</t>
  </si>
  <si>
    <t>hsa-miR-199b-3p</t>
  </si>
  <si>
    <t>hsa-miR-199a-3p</t>
  </si>
  <si>
    <t>hsa-miR-197-3p</t>
  </si>
  <si>
    <t>miR-339-3p*miR-99b-5p</t>
  </si>
  <si>
    <t>hsa-miR-196b-5p</t>
  </si>
  <si>
    <t>miR-339-3p*miR-370-3p</t>
  </si>
  <si>
    <t>hsa-miR-191-5p</t>
  </si>
  <si>
    <t>miR-339-3p*miR-181b-5p</t>
  </si>
  <si>
    <t>hsa-miR-1908-5p</t>
  </si>
  <si>
    <t>miR-339-3p*miR-181a-5p</t>
  </si>
  <si>
    <t>hsa-miR-186-5p</t>
  </si>
  <si>
    <t>miR-339-3p*miR-155-5p</t>
  </si>
  <si>
    <t>hsa-miR-185-5p</t>
  </si>
  <si>
    <t>miR-339-3p*miR-151a/b-5p</t>
  </si>
  <si>
    <t>hsa-miR-182-5p</t>
  </si>
  <si>
    <t>miR-339-3p*miR-134-5p</t>
  </si>
  <si>
    <t>hsa-miR-181b-5p</t>
  </si>
  <si>
    <t>miR-339-3p*miR-103b-3p</t>
  </si>
  <si>
    <t>hsa-miR-181a-5p</t>
  </si>
  <si>
    <t>miR-99b*miR-370-3p</t>
  </si>
  <si>
    <t>hsa-miR-16-5p</t>
  </si>
  <si>
    <t>miR-99b*miR-181b-5p</t>
  </si>
  <si>
    <t>hsa-miR-15b-5p</t>
  </si>
  <si>
    <t>miR-99b*miR-181a-5p</t>
  </si>
  <si>
    <t>hsa-miR-15a-5p</t>
  </si>
  <si>
    <t>miR-99b*miR-155-5p</t>
  </si>
  <si>
    <t>hsa-miR-155-5p</t>
  </si>
  <si>
    <t>miR-99b*miR-151a/b-5p</t>
  </si>
  <si>
    <t>hsa-miR-152-3p</t>
  </si>
  <si>
    <t>miR-99b*miR-134-5p</t>
  </si>
  <si>
    <t>hsa-miR-151b/151a-5p</t>
  </si>
  <si>
    <t>miR-99b*miR-103b-3p</t>
  </si>
  <si>
    <t>hsa-miR-151a-3p</t>
  </si>
  <si>
    <t>miR-181b-5p*miR-370-3p</t>
  </si>
  <si>
    <t>hsa-miR-148b-3p</t>
  </si>
  <si>
    <t>miR-181a-5p*miR-370-3p</t>
  </si>
  <si>
    <t>hsa-miR-148a-3p</t>
  </si>
  <si>
    <t>miR-181a-5p*miR-181b-5p</t>
  </si>
  <si>
    <t>hsa-miR-146b-5p</t>
  </si>
  <si>
    <t>miR-155-5p*miR-370-3p</t>
  </si>
  <si>
    <t>hsa-miR-146a-5p</t>
  </si>
  <si>
    <t>miR-155-5p*miR-181b-5p</t>
  </si>
  <si>
    <t>hsa-miR-143-3p</t>
  </si>
  <si>
    <t>miR-155-5p*miR-181a-5p</t>
  </si>
  <si>
    <t>hsa-miR-142-5p</t>
  </si>
  <si>
    <t>miR-151b/151a*miR-370-3p</t>
  </si>
  <si>
    <t>hsa-miR-142-3p</t>
  </si>
  <si>
    <t>miR-151b/151a*miR-181b-5p</t>
  </si>
  <si>
    <t>hsa-miR-140-3p</t>
  </si>
  <si>
    <t>miR-151b/151a*miR-181a-5p</t>
  </si>
  <si>
    <t>hsa-miR-139-3p</t>
  </si>
  <si>
    <t>miR-151b/151a*miR-155-5p</t>
  </si>
  <si>
    <t>hsa-miR-134-5p</t>
  </si>
  <si>
    <t>miR-134-5p*miR-370-3p</t>
  </si>
  <si>
    <t>hsa-miR-1307-3p</t>
  </si>
  <si>
    <t>miR-134-5p*miR-181b-5p</t>
  </si>
  <si>
    <t>hsa-miR-1301-3p</t>
  </si>
  <si>
    <t>miR-134-5p*miR-181a-5p</t>
  </si>
  <si>
    <t>hsa-miR-128-3p</t>
  </si>
  <si>
    <t>miR-134-5p*miR-155-5p</t>
  </si>
  <si>
    <t>hsa-miR-125b-5p</t>
  </si>
  <si>
    <t>miR-134-5p*miR-151b/151a</t>
  </si>
  <si>
    <t>hsa-miR-125a-5p</t>
  </si>
  <si>
    <t>miR-103b*miR-370-3p</t>
  </si>
  <si>
    <t>hsa-miR-10a-5p</t>
  </si>
  <si>
    <t>miR-103b*miR-181b-5p</t>
  </si>
  <si>
    <t>hsa-miR-107</t>
  </si>
  <si>
    <t>miR-103b*miR-181a-5p</t>
  </si>
  <si>
    <t>hsa-miR-106b-3p</t>
  </si>
  <si>
    <t>miR-103b*miR-155-5p</t>
  </si>
  <si>
    <t>hsa-miR-103b</t>
  </si>
  <si>
    <t>miR-103b*miR-151b/151a</t>
  </si>
  <si>
    <t>hsa-miR-103a-3p</t>
  </si>
  <si>
    <t>miR-103b*miR-134-5p</t>
  </si>
  <si>
    <t>hsa-miR-101-3p</t>
  </si>
  <si>
    <t>p-value (-log 10)</t>
  </si>
  <si>
    <t xml:space="preserve">p-value </t>
  </si>
  <si>
    <r>
      <t xml:space="preserve">Log rank </t>
    </r>
    <r>
      <rPr>
        <b/>
        <sz val="10"/>
        <rFont val="Symbol"/>
        <family val="1"/>
        <charset val="2"/>
      </rPr>
      <t>c</t>
    </r>
    <r>
      <rPr>
        <b/>
        <sz val="10"/>
        <rFont val="Arial"/>
        <family val="2"/>
      </rPr>
      <t>2</t>
    </r>
  </si>
  <si>
    <t xml:space="preserve">Survival analysis on N=126 patients, from enrolment </t>
  </si>
  <si>
    <t xml:space="preserve">Survival analysis on N=126 patients, from onset </t>
  </si>
  <si>
    <t>miRNA combinations</t>
  </si>
  <si>
    <t>Single miRNAs</t>
  </si>
  <si>
    <t>miR_103b</t>
  </si>
  <si>
    <t>miR_103b_151</t>
  </si>
  <si>
    <t>miR_103b_155</t>
  </si>
  <si>
    <t>miR_103b_181a</t>
  </si>
  <si>
    <t>miR_103b_181b</t>
  </si>
  <si>
    <t>miR_103b_370</t>
  </si>
  <si>
    <t>miR_134</t>
  </si>
  <si>
    <t>miR_134_155</t>
  </si>
  <si>
    <t>miR_134_181a</t>
  </si>
  <si>
    <t>miR_134_181b</t>
  </si>
  <si>
    <t>miR_151</t>
  </si>
  <si>
    <t>miR_151_155</t>
  </si>
  <si>
    <t>miR_151_181a</t>
  </si>
  <si>
    <t>miR_151_181b</t>
  </si>
  <si>
    <t>miR_155</t>
  </si>
  <si>
    <t>miR_155_181a</t>
  </si>
  <si>
    <t>miR_155_181b</t>
  </si>
  <si>
    <t>miR_155_370</t>
  </si>
  <si>
    <t>miR_181a</t>
  </si>
  <si>
    <t>miR_181a_b</t>
  </si>
  <si>
    <t>miR_181b</t>
  </si>
  <si>
    <t>miR_181b_370</t>
  </si>
  <si>
    <t>miR_339</t>
  </si>
  <si>
    <t>miR_339_181b</t>
  </si>
  <si>
    <t>miR_370</t>
  </si>
  <si>
    <t>miR_99_151</t>
  </si>
  <si>
    <t>miR_99_181a</t>
  </si>
  <si>
    <t>miR_99_181b</t>
  </si>
  <si>
    <t>miR_99b</t>
  </si>
  <si>
    <t>%Significance</t>
  </si>
  <si>
    <t>%Selected</t>
  </si>
  <si>
    <t>Predictor</t>
  </si>
  <si>
    <t>103b</t>
  </si>
  <si>
    <t>134</t>
  </si>
  <si>
    <t>151</t>
  </si>
  <si>
    <t>155</t>
  </si>
  <si>
    <t>181a</t>
  </si>
  <si>
    <t>181b</t>
  </si>
  <si>
    <t>339</t>
  </si>
  <si>
    <t>370</t>
  </si>
  <si>
    <t>99b</t>
  </si>
  <si>
    <t>103b_151</t>
  </si>
  <si>
    <t>103b_155</t>
  </si>
  <si>
    <t>103b_181a</t>
  </si>
  <si>
    <t>103b_181b</t>
  </si>
  <si>
    <t>103b_370</t>
  </si>
  <si>
    <t>134_155</t>
  </si>
  <si>
    <t>134_181a</t>
  </si>
  <si>
    <t>134_181b</t>
  </si>
  <si>
    <t>151_155</t>
  </si>
  <si>
    <t>151_181a</t>
  </si>
  <si>
    <t>151_181b</t>
  </si>
  <si>
    <t>155_181a</t>
  </si>
  <si>
    <t>155_181b</t>
  </si>
  <si>
    <t>155_370</t>
  </si>
  <si>
    <t>181b_370</t>
  </si>
  <si>
    <t>339_181b</t>
  </si>
  <si>
    <t>99b_151</t>
  </si>
  <si>
    <t>99b_181a</t>
  </si>
  <si>
    <t>99b_181b</t>
  </si>
  <si>
    <t xml:space="preserve">median </t>
  </si>
  <si>
    <t>Upper 95% CI</t>
  </si>
  <si>
    <t>181 (181a_b)</t>
  </si>
  <si>
    <t>Lower 95% CI</t>
  </si>
  <si>
    <t>miRNA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</si>
</sst>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Symbol"/>
      <family val="1"/>
      <charset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 applyFont="1"/>
    <xf numFmtId="2" fontId="0" fillId="0" borderId="0" xfId="0" applyNumberFormat="1" applyFont="1"/>
    <xf numFmtId="0" fontId="0" fillId="0" borderId="0" xfId="0" applyFont="1"/>
    <xf numFmtId="166" fontId="0" fillId="0" borderId="0" xfId="0" applyNumberFormat="1"/>
    <xf numFmtId="2" fontId="0" fillId="0" borderId="0" xfId="0" applyNumberFormat="1"/>
    <xf numFmtId="0" fontId="1" fillId="0" borderId="0" xfId="0" applyFont="1"/>
    <xf numFmtId="164" fontId="0" fillId="0" borderId="0" xfId="0" applyNumberFormat="1" applyFont="1"/>
    <xf numFmtId="165" fontId="0" fillId="0" borderId="0" xfId="0" applyNumberFormat="1" applyFont="1"/>
    <xf numFmtId="166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workbookViewId="0">
      <selection activeCell="H10" sqref="H10"/>
    </sheetView>
  </sheetViews>
  <sheetFormatPr defaultRowHeight="15" x14ac:dyDescent="0.25"/>
  <cols>
    <col min="1" max="1" width="26.85546875" style="5" bestFit="1" customWidth="1"/>
    <col min="2" max="2" width="10.28515625" style="3" bestFit="1" customWidth="1"/>
    <col min="3" max="3" width="8.28515625" style="4" bestFit="1" customWidth="1"/>
    <col min="4" max="4" width="28.7109375" style="3" customWidth="1"/>
    <col min="5" max="5" width="20.5703125" style="3" customWidth="1"/>
    <col min="6" max="6" width="12.85546875" style="4" customWidth="1"/>
    <col min="7" max="7" width="15.5703125" style="3" bestFit="1" customWidth="1"/>
    <col min="9" max="9" width="26.85546875" bestFit="1" customWidth="1"/>
    <col min="10" max="10" width="17" customWidth="1"/>
    <col min="11" max="11" width="12.7109375" style="2" customWidth="1"/>
    <col min="12" max="12" width="15.5703125" bestFit="1" customWidth="1"/>
    <col min="13" max="13" width="11.7109375" bestFit="1" customWidth="1"/>
    <col min="14" max="14" width="8.28515625" style="1" bestFit="1" customWidth="1"/>
    <col min="15" max="15" width="30.5703125" customWidth="1"/>
  </cols>
  <sheetData>
    <row r="1" spans="1:15" ht="15" customHeight="1" x14ac:dyDescent="0.25">
      <c r="A1" s="17" t="s">
        <v>129</v>
      </c>
      <c r="B1" s="18" t="s">
        <v>127</v>
      </c>
      <c r="C1" s="18"/>
      <c r="D1" s="18"/>
      <c r="E1" s="18" t="s">
        <v>126</v>
      </c>
      <c r="F1" s="18"/>
      <c r="G1" s="18"/>
      <c r="I1" s="17" t="s">
        <v>128</v>
      </c>
      <c r="J1" s="18" t="s">
        <v>127</v>
      </c>
      <c r="K1" s="18"/>
      <c r="L1" s="18"/>
      <c r="M1" s="18" t="s">
        <v>126</v>
      </c>
      <c r="N1" s="18"/>
      <c r="O1" s="18"/>
    </row>
    <row r="2" spans="1:15" x14ac:dyDescent="0.25">
      <c r="A2" s="17"/>
      <c r="B2" s="11" t="s">
        <v>125</v>
      </c>
      <c r="C2" s="14" t="s">
        <v>124</v>
      </c>
      <c r="D2" s="11" t="s">
        <v>123</v>
      </c>
      <c r="E2" s="11" t="s">
        <v>125</v>
      </c>
      <c r="F2" s="14" t="s">
        <v>124</v>
      </c>
      <c r="G2" s="11" t="s">
        <v>123</v>
      </c>
      <c r="I2" s="17"/>
      <c r="J2" s="11" t="s">
        <v>125</v>
      </c>
      <c r="K2" s="13" t="s">
        <v>124</v>
      </c>
      <c r="L2" s="11" t="s">
        <v>123</v>
      </c>
      <c r="M2" s="11" t="s">
        <v>125</v>
      </c>
      <c r="N2" s="12" t="s">
        <v>124</v>
      </c>
      <c r="O2" s="11" t="s">
        <v>123</v>
      </c>
    </row>
    <row r="3" spans="1:15" x14ac:dyDescent="0.25">
      <c r="A3" t="s">
        <v>122</v>
      </c>
      <c r="B3" s="6">
        <v>3.004</v>
      </c>
      <c r="C3" s="7">
        <v>8.3000000000000004E-2</v>
      </c>
      <c r="D3" s="6">
        <f t="shared" ref="D3:D34" si="0">LOG(1/C3)</f>
        <v>1.080921907623926</v>
      </c>
      <c r="E3" s="6">
        <v>0.84599999999999997</v>
      </c>
      <c r="F3" s="7">
        <v>0.35770000000000002</v>
      </c>
      <c r="G3" s="6">
        <f t="shared" ref="G3:G34" si="1">LOG(1/F3)</f>
        <v>0.44648105985103037</v>
      </c>
      <c r="I3" t="s">
        <v>121</v>
      </c>
      <c r="J3" s="3">
        <v>4.7060000000000004</v>
      </c>
      <c r="K3" s="10">
        <v>0.03</v>
      </c>
      <c r="L3" s="6">
        <f t="shared" ref="L3:L38" si="2">LOG(1/K3)</f>
        <v>1.5228787452803376</v>
      </c>
      <c r="M3" s="3">
        <v>2.2850000000000001</v>
      </c>
      <c r="N3" s="9">
        <v>0.13</v>
      </c>
      <c r="O3" s="6">
        <f t="shared" ref="O3:O38" si="3">LOG(1/N3)</f>
        <v>0.88605664769316317</v>
      </c>
    </row>
    <row r="4" spans="1:15" x14ac:dyDescent="0.25">
      <c r="A4" t="s">
        <v>120</v>
      </c>
      <c r="B4" s="6">
        <v>5.2610000000000001</v>
      </c>
      <c r="C4" s="7">
        <v>2.18E-2</v>
      </c>
      <c r="D4" s="6">
        <f t="shared" si="0"/>
        <v>1.6615435063953952</v>
      </c>
      <c r="E4" s="6">
        <v>1.232</v>
      </c>
      <c r="F4" s="7">
        <v>0.26700000000000002</v>
      </c>
      <c r="G4" s="6">
        <f t="shared" si="1"/>
        <v>0.57348873863542471</v>
      </c>
      <c r="I4" s="8" t="s">
        <v>119</v>
      </c>
      <c r="J4" s="3">
        <v>7.0149999999999997</v>
      </c>
      <c r="K4" s="10">
        <v>8.0999999999999996E-3</v>
      </c>
      <c r="L4" s="6">
        <f t="shared" si="2"/>
        <v>2.0915149811213505</v>
      </c>
      <c r="M4" s="3">
        <v>4.5179999999999998</v>
      </c>
      <c r="N4" s="9">
        <v>3.3500000000000002E-2</v>
      </c>
      <c r="O4" s="6">
        <f t="shared" si="3"/>
        <v>1.4749551929631548</v>
      </c>
    </row>
    <row r="5" spans="1:15" x14ac:dyDescent="0.25">
      <c r="A5" s="8" t="s">
        <v>118</v>
      </c>
      <c r="B5" s="6">
        <v>6.5659999999999998</v>
      </c>
      <c r="C5" s="7">
        <v>0.01</v>
      </c>
      <c r="D5" s="6">
        <f t="shared" si="0"/>
        <v>2</v>
      </c>
      <c r="E5" s="6">
        <v>4.6559999999999997</v>
      </c>
      <c r="F5" s="7">
        <v>3.09E-2</v>
      </c>
      <c r="G5" s="6">
        <f t="shared" si="1"/>
        <v>1.5100415205751654</v>
      </c>
      <c r="I5" s="8" t="s">
        <v>117</v>
      </c>
      <c r="J5" s="3">
        <v>7.774</v>
      </c>
      <c r="K5" s="10">
        <v>5.3E-3</v>
      </c>
      <c r="L5" s="6">
        <f t="shared" si="2"/>
        <v>2.2757241303992108</v>
      </c>
      <c r="M5" s="3">
        <v>8.5909999999999993</v>
      </c>
      <c r="N5" s="9">
        <v>3.3999999999999998E-3</v>
      </c>
      <c r="O5" s="6">
        <f t="shared" si="3"/>
        <v>2.4685210829577451</v>
      </c>
    </row>
    <row r="6" spans="1:15" x14ac:dyDescent="0.25">
      <c r="A6" t="s">
        <v>116</v>
      </c>
      <c r="B6" s="6">
        <v>2.6349999999999998</v>
      </c>
      <c r="C6" s="7">
        <v>6.4000000000000001E-2</v>
      </c>
      <c r="D6" s="6">
        <f t="shared" si="0"/>
        <v>1.1938200260161129</v>
      </c>
      <c r="E6" s="6">
        <v>1.8029999999999999</v>
      </c>
      <c r="F6" s="7">
        <v>0.17929999999999999</v>
      </c>
      <c r="G6" s="6">
        <f t="shared" si="1"/>
        <v>0.74641971043781719</v>
      </c>
      <c r="I6" s="8" t="s">
        <v>115</v>
      </c>
      <c r="J6" s="3">
        <v>7.0030000000000001</v>
      </c>
      <c r="K6" s="10">
        <v>8.0999999999999996E-3</v>
      </c>
      <c r="L6" s="6">
        <f t="shared" si="2"/>
        <v>2.0915149811213505</v>
      </c>
      <c r="M6" s="3">
        <v>3.4</v>
      </c>
      <c r="N6" s="9">
        <v>0.06</v>
      </c>
      <c r="O6" s="6">
        <f t="shared" si="3"/>
        <v>1.2218487496163564</v>
      </c>
    </row>
    <row r="7" spans="1:15" x14ac:dyDescent="0.25">
      <c r="A7" t="s">
        <v>114</v>
      </c>
      <c r="B7" s="6">
        <v>5.609</v>
      </c>
      <c r="C7" s="7">
        <v>1.7899999999999999E-2</v>
      </c>
      <c r="D7" s="6">
        <f t="shared" si="0"/>
        <v>1.7471469690201069</v>
      </c>
      <c r="E7" s="6">
        <v>2.4420000000000002</v>
      </c>
      <c r="F7" s="7">
        <v>0.1182</v>
      </c>
      <c r="G7" s="6">
        <f t="shared" si="1"/>
        <v>0.92738252345476346</v>
      </c>
      <c r="I7" s="8" t="s">
        <v>113</v>
      </c>
      <c r="J7" s="3">
        <v>12.45</v>
      </c>
      <c r="K7" s="10">
        <v>4.0000000000000002E-4</v>
      </c>
      <c r="L7" s="6">
        <f t="shared" si="2"/>
        <v>3.3979400086720375</v>
      </c>
      <c r="M7" s="3">
        <v>10.8</v>
      </c>
      <c r="N7" s="9">
        <v>1E-3</v>
      </c>
      <c r="O7" s="6">
        <f t="shared" si="3"/>
        <v>3</v>
      </c>
    </row>
    <row r="8" spans="1:15" x14ac:dyDescent="0.25">
      <c r="A8" t="s">
        <v>112</v>
      </c>
      <c r="B8" s="6">
        <v>2.15</v>
      </c>
      <c r="C8" s="7">
        <v>0.13900000000000001</v>
      </c>
      <c r="D8" s="6">
        <f t="shared" si="0"/>
        <v>0.85698519974590492</v>
      </c>
      <c r="E8" s="6">
        <v>0.1358</v>
      </c>
      <c r="F8" s="7">
        <v>0.71250000000000002</v>
      </c>
      <c r="G8" s="6">
        <f t="shared" si="1"/>
        <v>0.14721513131945216</v>
      </c>
      <c r="I8" s="8" t="s">
        <v>111</v>
      </c>
      <c r="J8" s="3">
        <v>6.6</v>
      </c>
      <c r="K8" s="10">
        <v>0.01</v>
      </c>
      <c r="L8" s="6">
        <f t="shared" si="2"/>
        <v>2</v>
      </c>
      <c r="M8" s="3">
        <v>3.6</v>
      </c>
      <c r="N8" s="9">
        <v>0.06</v>
      </c>
      <c r="O8" s="6">
        <f t="shared" si="3"/>
        <v>1.2218487496163564</v>
      </c>
    </row>
    <row r="9" spans="1:15" x14ac:dyDescent="0.25">
      <c r="A9" t="s">
        <v>110</v>
      </c>
      <c r="B9" s="6">
        <v>1.62</v>
      </c>
      <c r="C9" s="7">
        <v>0.14499999999999999</v>
      </c>
      <c r="D9" s="6">
        <f t="shared" si="0"/>
        <v>0.83863199776502517</v>
      </c>
      <c r="E9" s="6">
        <v>1.204</v>
      </c>
      <c r="F9" s="7">
        <v>0.27250000000000002</v>
      </c>
      <c r="G9" s="6">
        <f t="shared" si="1"/>
        <v>0.5646334933873387</v>
      </c>
      <c r="I9" t="s">
        <v>109</v>
      </c>
      <c r="J9" s="3">
        <v>4.1900000000000004</v>
      </c>
      <c r="K9" s="10">
        <v>0.04</v>
      </c>
      <c r="L9" s="6">
        <f t="shared" si="2"/>
        <v>1.3979400086720377</v>
      </c>
      <c r="M9" s="3">
        <v>2</v>
      </c>
      <c r="N9" s="9">
        <v>0.2</v>
      </c>
      <c r="O9" s="6">
        <f t="shared" si="3"/>
        <v>0.69897000433601886</v>
      </c>
    </row>
    <row r="10" spans="1:15" x14ac:dyDescent="0.25">
      <c r="A10" t="s">
        <v>108</v>
      </c>
      <c r="B10" s="6">
        <v>4.5010000000000003</v>
      </c>
      <c r="C10" s="7">
        <v>5.2999999999999999E-2</v>
      </c>
      <c r="D10" s="6">
        <f t="shared" si="0"/>
        <v>1.2757241303992111</v>
      </c>
      <c r="E10" s="6">
        <v>0.66139999999999999</v>
      </c>
      <c r="F10" s="7">
        <v>0.41610000000000003</v>
      </c>
      <c r="G10" s="6">
        <f t="shared" si="1"/>
        <v>0.3808022842070527</v>
      </c>
      <c r="I10" s="8" t="s">
        <v>107</v>
      </c>
      <c r="J10" s="3">
        <v>7.0949999999999998</v>
      </c>
      <c r="K10" s="10">
        <v>7.8100000000000001E-3</v>
      </c>
      <c r="L10" s="6">
        <f t="shared" si="2"/>
        <v>2.1073489661226996</v>
      </c>
      <c r="M10" s="3">
        <v>4.9000000000000004</v>
      </c>
      <c r="N10" s="9">
        <v>0.03</v>
      </c>
      <c r="O10" s="6">
        <f t="shared" si="3"/>
        <v>1.5228787452803376</v>
      </c>
    </row>
    <row r="11" spans="1:15" x14ac:dyDescent="0.25">
      <c r="A11" t="s">
        <v>106</v>
      </c>
      <c r="B11" s="6">
        <v>3.46</v>
      </c>
      <c r="C11" s="7">
        <v>6.2899999999999998E-2</v>
      </c>
      <c r="D11" s="6">
        <f t="shared" si="0"/>
        <v>1.2013493545547311</v>
      </c>
      <c r="E11" s="6">
        <v>0.91639999999999999</v>
      </c>
      <c r="F11" s="7">
        <v>0.33839999999999998</v>
      </c>
      <c r="G11" s="6">
        <f t="shared" si="1"/>
        <v>0.47056964563301407</v>
      </c>
      <c r="I11" s="8" t="s">
        <v>105</v>
      </c>
      <c r="J11" s="3">
        <v>10.039999999999999</v>
      </c>
      <c r="K11" s="10">
        <v>1.5E-3</v>
      </c>
      <c r="L11" s="6">
        <f t="shared" si="2"/>
        <v>2.8239087409443187</v>
      </c>
      <c r="M11" s="3">
        <v>3.9</v>
      </c>
      <c r="N11" s="9">
        <v>0.05</v>
      </c>
      <c r="O11" s="6">
        <f t="shared" si="3"/>
        <v>1.3010299956639813</v>
      </c>
    </row>
    <row r="12" spans="1:15" x14ac:dyDescent="0.25">
      <c r="A12" t="s">
        <v>104</v>
      </c>
      <c r="B12" s="6">
        <v>5.774</v>
      </c>
      <c r="C12" s="7">
        <v>1.5299999999999999E-2</v>
      </c>
      <c r="D12" s="6">
        <f t="shared" si="0"/>
        <v>1.8153085691824014</v>
      </c>
      <c r="E12" s="6">
        <v>4.3220000000000001</v>
      </c>
      <c r="F12" s="7">
        <v>3.7600000000000001E-2</v>
      </c>
      <c r="G12" s="6">
        <f t="shared" si="1"/>
        <v>1.4248121550723389</v>
      </c>
      <c r="I12" s="8" t="s">
        <v>103</v>
      </c>
      <c r="J12" s="3">
        <v>12.23</v>
      </c>
      <c r="K12" s="10">
        <v>5.0000000000000001E-4</v>
      </c>
      <c r="L12" s="6">
        <f t="shared" si="2"/>
        <v>3.3010299956639813</v>
      </c>
      <c r="M12" s="3">
        <v>5.3</v>
      </c>
      <c r="N12" s="9">
        <v>0.02</v>
      </c>
      <c r="O12" s="6">
        <f t="shared" si="3"/>
        <v>1.6989700043360187</v>
      </c>
    </row>
    <row r="13" spans="1:15" x14ac:dyDescent="0.25">
      <c r="A13" t="s">
        <v>102</v>
      </c>
      <c r="B13" s="6">
        <v>1.4330000000000001</v>
      </c>
      <c r="C13" s="7">
        <v>0.21199999999999999</v>
      </c>
      <c r="D13" s="6">
        <f t="shared" si="0"/>
        <v>0.67366413907124856</v>
      </c>
      <c r="E13" s="6">
        <v>0.37280000000000002</v>
      </c>
      <c r="F13" s="7">
        <v>0.54149999999999998</v>
      </c>
      <c r="G13" s="6">
        <f t="shared" si="1"/>
        <v>0.26640153903866087</v>
      </c>
      <c r="I13" t="s">
        <v>101</v>
      </c>
      <c r="J13" s="3">
        <v>3.355</v>
      </c>
      <c r="K13" s="10">
        <v>6.7599999999999993E-2</v>
      </c>
      <c r="L13" s="6">
        <f t="shared" si="2"/>
        <v>1.1700533040583641</v>
      </c>
      <c r="M13" s="3">
        <v>1.8</v>
      </c>
      <c r="N13" s="9">
        <v>0.2</v>
      </c>
      <c r="O13" s="6">
        <f t="shared" si="3"/>
        <v>0.69897000433601886</v>
      </c>
    </row>
    <row r="14" spans="1:15" x14ac:dyDescent="0.25">
      <c r="A14" s="8" t="s">
        <v>100</v>
      </c>
      <c r="B14" s="6">
        <v>6.9550000000000001</v>
      </c>
      <c r="C14" s="7">
        <v>8.43E-3</v>
      </c>
      <c r="D14" s="6">
        <f t="shared" si="0"/>
        <v>2.0741724253752576</v>
      </c>
      <c r="E14" s="6">
        <v>2.7109999999999999</v>
      </c>
      <c r="F14" s="7">
        <v>9.9599999999999994E-2</v>
      </c>
      <c r="G14" s="6">
        <f t="shared" si="1"/>
        <v>1.0017406615763014</v>
      </c>
      <c r="I14" s="8" t="s">
        <v>99</v>
      </c>
      <c r="J14" s="3">
        <v>10.84</v>
      </c>
      <c r="K14" s="10">
        <v>1E-3</v>
      </c>
      <c r="L14" s="6">
        <f t="shared" si="2"/>
        <v>3</v>
      </c>
      <c r="M14" s="3">
        <v>8.1999999999999993</v>
      </c>
      <c r="N14" s="9">
        <v>4.0000000000000001E-3</v>
      </c>
      <c r="O14" s="6">
        <f t="shared" si="3"/>
        <v>2.3979400086720375</v>
      </c>
    </row>
    <row r="15" spans="1:15" x14ac:dyDescent="0.25">
      <c r="A15" t="s">
        <v>98</v>
      </c>
      <c r="B15" s="6">
        <v>2.399</v>
      </c>
      <c r="C15" s="7">
        <v>0.121</v>
      </c>
      <c r="D15" s="6">
        <f t="shared" si="0"/>
        <v>0.91721462968354994</v>
      </c>
      <c r="E15" s="6">
        <v>1.9850000000000001</v>
      </c>
      <c r="F15" s="7">
        <v>0.15890000000000001</v>
      </c>
      <c r="G15" s="6">
        <f t="shared" si="1"/>
        <v>0.79887610279262045</v>
      </c>
      <c r="I15" s="8" t="s">
        <v>97</v>
      </c>
      <c r="J15" s="3">
        <v>16.87</v>
      </c>
      <c r="K15" s="10">
        <v>4.0000000000000003E-5</v>
      </c>
      <c r="L15" s="6">
        <f t="shared" si="2"/>
        <v>4.3979400086720375</v>
      </c>
      <c r="M15" s="3">
        <v>8.9</v>
      </c>
      <c r="N15" s="9">
        <v>3.0000000000000001E-3</v>
      </c>
      <c r="O15" s="6">
        <f t="shared" si="3"/>
        <v>2.5228787452803374</v>
      </c>
    </row>
    <row r="16" spans="1:15" x14ac:dyDescent="0.25">
      <c r="A16" t="s">
        <v>96</v>
      </c>
      <c r="B16" s="6">
        <v>2.415</v>
      </c>
      <c r="C16" s="7">
        <v>0.12</v>
      </c>
      <c r="D16" s="6">
        <f t="shared" si="0"/>
        <v>0.92081875395237522</v>
      </c>
      <c r="E16" s="6">
        <v>2.0659999999999998</v>
      </c>
      <c r="F16" s="7">
        <v>0.15060000000000001</v>
      </c>
      <c r="G16" s="6">
        <f t="shared" si="1"/>
        <v>0.82217502813531818</v>
      </c>
      <c r="I16" s="8" t="s">
        <v>95</v>
      </c>
      <c r="J16" s="3">
        <v>15.67</v>
      </c>
      <c r="K16" s="10">
        <v>8.0000000000000007E-5</v>
      </c>
      <c r="L16" s="6">
        <f t="shared" si="2"/>
        <v>4.0969100130080562</v>
      </c>
      <c r="M16" s="3">
        <v>8.8000000000000007</v>
      </c>
      <c r="N16" s="9">
        <v>3.0000000000000001E-3</v>
      </c>
      <c r="O16" s="6">
        <f t="shared" si="3"/>
        <v>2.5228787452803374</v>
      </c>
    </row>
    <row r="17" spans="1:15" x14ac:dyDescent="0.25">
      <c r="A17" t="s">
        <v>94</v>
      </c>
      <c r="B17" s="6">
        <v>0.57010000000000005</v>
      </c>
      <c r="C17" s="7">
        <v>0.313</v>
      </c>
      <c r="D17" s="6">
        <f t="shared" si="0"/>
        <v>0.50445566245355156</v>
      </c>
      <c r="E17" s="6">
        <v>1.9610000000000001</v>
      </c>
      <c r="F17" s="7">
        <v>0.1615</v>
      </c>
      <c r="G17" s="6">
        <f t="shared" si="1"/>
        <v>0.79182747333287828</v>
      </c>
      <c r="I17" t="s">
        <v>93</v>
      </c>
      <c r="J17" s="3">
        <v>5.9859999999999998</v>
      </c>
      <c r="K17" s="10">
        <v>1.44E-2</v>
      </c>
      <c r="L17" s="6">
        <f t="shared" si="2"/>
        <v>1.8416375079047502</v>
      </c>
      <c r="M17" s="3">
        <v>2.7</v>
      </c>
      <c r="N17" s="9">
        <v>0.1</v>
      </c>
      <c r="O17" s="6">
        <f t="shared" si="3"/>
        <v>1</v>
      </c>
    </row>
    <row r="18" spans="1:15" x14ac:dyDescent="0.25">
      <c r="A18" t="s">
        <v>92</v>
      </c>
      <c r="B18" s="6">
        <v>4.6139999999999999</v>
      </c>
      <c r="C18" s="7">
        <v>3.1699999999999999E-2</v>
      </c>
      <c r="D18" s="6">
        <f t="shared" si="0"/>
        <v>1.4989407377822486</v>
      </c>
      <c r="E18" s="6">
        <v>3.7360000000000002</v>
      </c>
      <c r="F18" s="7">
        <v>5.3199999999999997E-2</v>
      </c>
      <c r="G18" s="6">
        <f t="shared" si="1"/>
        <v>1.2740883677049519</v>
      </c>
      <c r="I18" s="8" t="s">
        <v>91</v>
      </c>
      <c r="J18" s="3">
        <v>12.98</v>
      </c>
      <c r="K18" s="10">
        <v>2.9999999999999997E-4</v>
      </c>
      <c r="L18" s="6">
        <f t="shared" si="2"/>
        <v>3.5228787452803374</v>
      </c>
      <c r="M18" s="3">
        <v>11.3</v>
      </c>
      <c r="N18" s="9">
        <v>8.0000000000000004E-4</v>
      </c>
      <c r="O18" s="6">
        <f t="shared" si="3"/>
        <v>3.0969100130080562</v>
      </c>
    </row>
    <row r="19" spans="1:15" x14ac:dyDescent="0.25">
      <c r="A19" t="s">
        <v>90</v>
      </c>
      <c r="B19" s="6">
        <v>2.964</v>
      </c>
      <c r="C19" s="7">
        <v>8.5199999999999998E-2</v>
      </c>
      <c r="D19" s="6">
        <f t="shared" si="0"/>
        <v>1.0695604052332999</v>
      </c>
      <c r="E19" s="6">
        <v>2.2559999999999998</v>
      </c>
      <c r="F19" s="7">
        <v>0.1331</v>
      </c>
      <c r="G19" s="6">
        <f t="shared" si="1"/>
        <v>0.87582194452532491</v>
      </c>
      <c r="I19" s="8" t="s">
        <v>89</v>
      </c>
      <c r="J19" s="3">
        <v>17.16</v>
      </c>
      <c r="K19" s="10">
        <v>3.0000000000000001E-5</v>
      </c>
      <c r="L19" s="6">
        <f t="shared" si="2"/>
        <v>4.5228787452803374</v>
      </c>
      <c r="M19" s="3">
        <v>11.7</v>
      </c>
      <c r="N19" s="9">
        <v>5.9999999999999995E-4</v>
      </c>
      <c r="O19" s="6">
        <f t="shared" si="3"/>
        <v>3.2218487496163566</v>
      </c>
    </row>
    <row r="20" spans="1:15" x14ac:dyDescent="0.25">
      <c r="A20" t="s">
        <v>88</v>
      </c>
      <c r="B20" s="6">
        <v>1.41</v>
      </c>
      <c r="C20" s="7">
        <v>9.1200000000000003E-2</v>
      </c>
      <c r="D20" s="6">
        <f t="shared" si="0"/>
        <v>1.0400051616715837</v>
      </c>
      <c r="E20" s="6">
        <v>1.0229999999999999</v>
      </c>
      <c r="F20" s="7">
        <v>0.31180000000000002</v>
      </c>
      <c r="G20" s="6">
        <f t="shared" si="1"/>
        <v>0.5061238891471771</v>
      </c>
      <c r="I20" s="8" t="s">
        <v>87</v>
      </c>
      <c r="J20" s="3">
        <v>7.3819999999999997</v>
      </c>
      <c r="K20" s="10">
        <v>6.6E-3</v>
      </c>
      <c r="L20" s="6">
        <f t="shared" si="2"/>
        <v>2.1804560644581312</v>
      </c>
      <c r="M20" s="3">
        <v>4.2</v>
      </c>
      <c r="N20" s="9">
        <v>0.04</v>
      </c>
      <c r="O20" s="6">
        <f t="shared" si="3"/>
        <v>1.3979400086720377</v>
      </c>
    </row>
    <row r="21" spans="1:15" x14ac:dyDescent="0.25">
      <c r="A21" t="s">
        <v>86</v>
      </c>
      <c r="B21" s="6">
        <v>2.452</v>
      </c>
      <c r="C21" s="7">
        <v>0.1174</v>
      </c>
      <c r="D21" s="6">
        <f t="shared" si="0"/>
        <v>0.9303319030884043</v>
      </c>
      <c r="E21" s="6">
        <v>2.3210000000000002</v>
      </c>
      <c r="F21" s="6">
        <v>0.125</v>
      </c>
      <c r="G21" s="6">
        <f t="shared" si="1"/>
        <v>0.90308998699194354</v>
      </c>
      <c r="I21" s="8" t="s">
        <v>85</v>
      </c>
      <c r="J21" s="3">
        <v>12.54</v>
      </c>
      <c r="K21" s="10">
        <v>4.0000000000000002E-4</v>
      </c>
      <c r="L21" s="6">
        <f t="shared" si="2"/>
        <v>3.3979400086720375</v>
      </c>
      <c r="M21" s="3">
        <v>13.6</v>
      </c>
      <c r="N21" s="9">
        <v>2.0000000000000001E-4</v>
      </c>
      <c r="O21" s="6">
        <f t="shared" si="3"/>
        <v>3.6989700043360187</v>
      </c>
    </row>
    <row r="22" spans="1:15" x14ac:dyDescent="0.25">
      <c r="A22" t="s">
        <v>84</v>
      </c>
      <c r="B22" s="6">
        <v>4.4160000000000004</v>
      </c>
      <c r="C22" s="7">
        <v>3.56E-2</v>
      </c>
      <c r="D22" s="6">
        <f t="shared" si="0"/>
        <v>1.4485500020271249</v>
      </c>
      <c r="E22" s="6">
        <v>2.6659999999999999</v>
      </c>
      <c r="F22" s="7">
        <v>0.10249999999999999</v>
      </c>
      <c r="G22" s="6">
        <f t="shared" si="1"/>
        <v>0.98927613460822683</v>
      </c>
      <c r="I22" t="s">
        <v>83</v>
      </c>
      <c r="J22" s="3">
        <v>6.1820000000000004</v>
      </c>
      <c r="K22" s="10">
        <v>1.29E-2</v>
      </c>
      <c r="L22" s="6">
        <f t="shared" si="2"/>
        <v>1.889410289700751</v>
      </c>
      <c r="M22" s="3">
        <v>3</v>
      </c>
      <c r="N22" s="9">
        <v>0.08</v>
      </c>
      <c r="O22" s="6">
        <f t="shared" si="3"/>
        <v>1.0969100130080565</v>
      </c>
    </row>
    <row r="23" spans="1:15" x14ac:dyDescent="0.25">
      <c r="A23" t="s">
        <v>82</v>
      </c>
      <c r="B23" s="7">
        <v>1.839</v>
      </c>
      <c r="C23" s="7">
        <v>0.17510000000000001</v>
      </c>
      <c r="D23" s="6">
        <f t="shared" si="0"/>
        <v>0.75671385391655377</v>
      </c>
      <c r="E23" s="6">
        <v>2.5569999999999999</v>
      </c>
      <c r="F23" s="6">
        <v>0.10979999999999999</v>
      </c>
      <c r="G23" s="6">
        <f t="shared" si="1"/>
        <v>0.95939765988592696</v>
      </c>
      <c r="I23" s="8" t="s">
        <v>81</v>
      </c>
      <c r="J23" s="3">
        <v>7.3419999999999996</v>
      </c>
      <c r="K23" s="10">
        <v>6.7000000000000002E-3</v>
      </c>
      <c r="L23" s="6">
        <f t="shared" si="2"/>
        <v>2.1739251972991736</v>
      </c>
      <c r="M23" s="3">
        <v>3.4</v>
      </c>
      <c r="N23" s="9">
        <v>7.0000000000000007E-2</v>
      </c>
      <c r="O23" s="6">
        <f t="shared" si="3"/>
        <v>1.1549019599857431</v>
      </c>
    </row>
    <row r="24" spans="1:15" x14ac:dyDescent="0.25">
      <c r="A24" t="s">
        <v>80</v>
      </c>
      <c r="B24" s="6">
        <v>5.8659999999999997</v>
      </c>
      <c r="C24" s="7">
        <v>1.54E-2</v>
      </c>
      <c r="D24" s="6">
        <f t="shared" si="0"/>
        <v>1.8124792791635369</v>
      </c>
      <c r="E24" s="6">
        <v>4.6820000000000004</v>
      </c>
      <c r="F24" s="7">
        <v>3.0499999999999999E-2</v>
      </c>
      <c r="G24" s="6">
        <f t="shared" si="1"/>
        <v>1.5157001606532141</v>
      </c>
      <c r="I24" t="s">
        <v>79</v>
      </c>
      <c r="J24" s="3">
        <v>6.4160000000000004</v>
      </c>
      <c r="K24" s="10">
        <v>1.1299999999999999E-2</v>
      </c>
      <c r="L24" s="6">
        <f t="shared" si="2"/>
        <v>1.9469215565165803</v>
      </c>
      <c r="M24" s="3">
        <v>2.0819999999999999</v>
      </c>
      <c r="N24" s="9">
        <v>0.14899999999999999</v>
      </c>
      <c r="O24" s="6">
        <f t="shared" si="3"/>
        <v>0.82681373158772598</v>
      </c>
    </row>
    <row r="25" spans="1:15" x14ac:dyDescent="0.25">
      <c r="A25" s="8" t="s">
        <v>78</v>
      </c>
      <c r="B25" s="6">
        <v>17.98</v>
      </c>
      <c r="C25" s="7">
        <v>2.0000000000000002E-5</v>
      </c>
      <c r="D25" s="6">
        <f t="shared" si="0"/>
        <v>4.6989700043360187</v>
      </c>
      <c r="E25" s="6">
        <v>11.4</v>
      </c>
      <c r="F25" s="7">
        <v>6.9999999999999999E-4</v>
      </c>
      <c r="G25" s="6">
        <f t="shared" si="1"/>
        <v>3.1549019599857431</v>
      </c>
      <c r="I25" t="s">
        <v>77</v>
      </c>
      <c r="J25" s="3">
        <v>4.7249999999999996</v>
      </c>
      <c r="K25" s="10">
        <v>2.9700000000000001E-2</v>
      </c>
      <c r="L25" s="6">
        <f t="shared" si="2"/>
        <v>1.5272435506827877</v>
      </c>
      <c r="M25" s="3">
        <v>3.577</v>
      </c>
      <c r="N25" s="9">
        <v>5.8599999999999999E-2</v>
      </c>
      <c r="O25" s="6">
        <f t="shared" si="3"/>
        <v>1.2321023839819094</v>
      </c>
    </row>
    <row r="26" spans="1:15" x14ac:dyDescent="0.25">
      <c r="A26" t="s">
        <v>76</v>
      </c>
      <c r="B26" s="6">
        <v>2.3420000000000001</v>
      </c>
      <c r="C26" s="7">
        <v>0.126</v>
      </c>
      <c r="D26" s="6">
        <f t="shared" si="0"/>
        <v>0.89962945488243706</v>
      </c>
      <c r="E26" s="6">
        <v>1.07</v>
      </c>
      <c r="F26" s="7">
        <v>0.30099999999999999</v>
      </c>
      <c r="G26" s="6">
        <f t="shared" si="1"/>
        <v>0.52143350440615666</v>
      </c>
      <c r="I26" s="8" t="s">
        <v>75</v>
      </c>
      <c r="J26" s="3">
        <v>6.7389999999999999</v>
      </c>
      <c r="K26" s="10">
        <v>9.4000000000000004E-3</v>
      </c>
      <c r="L26" s="6">
        <f t="shared" si="2"/>
        <v>2.0268721464003012</v>
      </c>
      <c r="M26" s="3">
        <v>2.4460000000000002</v>
      </c>
      <c r="N26" s="9">
        <v>0.1179</v>
      </c>
      <c r="O26" s="6">
        <f t="shared" si="3"/>
        <v>0.92848619490491091</v>
      </c>
    </row>
    <row r="27" spans="1:15" x14ac:dyDescent="0.25">
      <c r="A27" s="8" t="s">
        <v>74</v>
      </c>
      <c r="B27" s="6">
        <v>11.45</v>
      </c>
      <c r="C27" s="7">
        <v>6.9999999999999999E-4</v>
      </c>
      <c r="D27" s="6">
        <f t="shared" si="0"/>
        <v>3.1549019599857431</v>
      </c>
      <c r="E27" s="6">
        <v>6.6109999999999998</v>
      </c>
      <c r="F27" s="7">
        <v>0.01</v>
      </c>
      <c r="G27" s="6">
        <f t="shared" si="1"/>
        <v>2</v>
      </c>
      <c r="I27" t="s">
        <v>73</v>
      </c>
      <c r="J27" s="3">
        <v>6.4329999999999998</v>
      </c>
      <c r="K27" s="10">
        <v>1.1299999999999999E-2</v>
      </c>
      <c r="L27" s="6">
        <f t="shared" si="2"/>
        <v>1.9469215565165803</v>
      </c>
      <c r="M27" s="3">
        <v>6.0780000000000003</v>
      </c>
      <c r="N27" s="9">
        <v>1.37E-2</v>
      </c>
      <c r="O27" s="6">
        <f t="shared" si="3"/>
        <v>1.8632794328435933</v>
      </c>
    </row>
    <row r="28" spans="1:15" x14ac:dyDescent="0.25">
      <c r="A28" t="s">
        <v>72</v>
      </c>
      <c r="B28" s="6">
        <v>4.2460000000000004</v>
      </c>
      <c r="C28" s="7">
        <v>3.9300000000000002E-2</v>
      </c>
      <c r="D28" s="6">
        <f t="shared" si="0"/>
        <v>1.4056074496245732</v>
      </c>
      <c r="E28" s="6">
        <v>3.3220000000000001</v>
      </c>
      <c r="F28" s="7">
        <v>6.8400000000000002E-2</v>
      </c>
      <c r="G28" s="6">
        <f t="shared" si="1"/>
        <v>1.1649438982798839</v>
      </c>
      <c r="I28" s="8" t="s">
        <v>71</v>
      </c>
      <c r="J28" s="3">
        <v>9.7330000000000005</v>
      </c>
      <c r="K28" s="10">
        <v>1.8E-3</v>
      </c>
      <c r="L28" s="6">
        <f t="shared" si="2"/>
        <v>2.744727494896694</v>
      </c>
      <c r="M28" s="3">
        <v>8.4659999999999993</v>
      </c>
      <c r="N28" s="9">
        <v>3.5999999999999999E-3</v>
      </c>
      <c r="O28" s="6">
        <f t="shared" si="3"/>
        <v>2.4436974992327127</v>
      </c>
    </row>
    <row r="29" spans="1:15" x14ac:dyDescent="0.25">
      <c r="A29" t="s">
        <v>70</v>
      </c>
      <c r="B29" s="6">
        <v>5.4</v>
      </c>
      <c r="C29" s="7">
        <v>0.02</v>
      </c>
      <c r="D29" s="6">
        <f t="shared" si="0"/>
        <v>1.6989700043360187</v>
      </c>
      <c r="E29" s="7">
        <v>4.3109999999999999</v>
      </c>
      <c r="F29" s="7">
        <v>3.7900000000000003E-2</v>
      </c>
      <c r="G29" s="6">
        <f t="shared" si="1"/>
        <v>1.4213607900319276</v>
      </c>
      <c r="I29" s="8" t="s">
        <v>69</v>
      </c>
      <c r="J29" s="3">
        <v>7.8620000000000001</v>
      </c>
      <c r="K29" s="10">
        <v>5.0000000000000001E-3</v>
      </c>
      <c r="L29" s="6">
        <f t="shared" si="2"/>
        <v>2.3010299956639813</v>
      </c>
      <c r="M29" s="3">
        <v>6.1710000000000003</v>
      </c>
      <c r="N29" s="9">
        <v>1.2999999999999999E-2</v>
      </c>
      <c r="O29" s="6">
        <f t="shared" si="3"/>
        <v>1.8860566476931633</v>
      </c>
    </row>
    <row r="30" spans="1:15" x14ac:dyDescent="0.25">
      <c r="A30" t="s">
        <v>68</v>
      </c>
      <c r="B30" s="6">
        <v>6.0289999999999999</v>
      </c>
      <c r="C30" s="7">
        <v>1.41E-2</v>
      </c>
      <c r="D30" s="6">
        <f t="shared" si="0"/>
        <v>1.8507808873446201</v>
      </c>
      <c r="E30" s="6">
        <v>2.2360000000000002</v>
      </c>
      <c r="F30" s="7">
        <v>0.13489999999999999</v>
      </c>
      <c r="G30" s="6">
        <f t="shared" si="1"/>
        <v>0.86998805032809579</v>
      </c>
      <c r="I30" t="s">
        <v>67</v>
      </c>
      <c r="J30" s="3">
        <v>5.8259999999999996</v>
      </c>
      <c r="K30" s="10">
        <v>1.5800000000000002E-2</v>
      </c>
      <c r="L30" s="6">
        <f t="shared" si="2"/>
        <v>1.8013429130455774</v>
      </c>
      <c r="M30" s="3">
        <v>0.94330000000000003</v>
      </c>
      <c r="N30" s="9">
        <v>0.33100000000000002</v>
      </c>
      <c r="O30" s="6">
        <f t="shared" si="3"/>
        <v>0.48017200622428124</v>
      </c>
    </row>
    <row r="31" spans="1:15" x14ac:dyDescent="0.25">
      <c r="A31" s="8" t="s">
        <v>66</v>
      </c>
      <c r="B31" s="6">
        <v>7.2210000000000001</v>
      </c>
      <c r="C31" s="7">
        <v>7.1999999999999998E-3</v>
      </c>
      <c r="D31" s="6">
        <f t="shared" si="0"/>
        <v>2.1426675035687315</v>
      </c>
      <c r="E31" s="6">
        <v>4.8620000000000001</v>
      </c>
      <c r="F31" s="7">
        <v>2.75E-2</v>
      </c>
      <c r="G31" s="6">
        <f t="shared" si="1"/>
        <v>1.5606673061697374</v>
      </c>
      <c r="I31" t="s">
        <v>65</v>
      </c>
      <c r="J31" s="3">
        <v>5.758</v>
      </c>
      <c r="K31" s="10">
        <v>1.6400000000000001E-2</v>
      </c>
      <c r="L31" s="6">
        <f t="shared" si="2"/>
        <v>1.785156151952302</v>
      </c>
      <c r="M31" s="3">
        <v>5.3819999999999997</v>
      </c>
      <c r="N31" s="9">
        <v>0.02</v>
      </c>
      <c r="O31" s="6">
        <f t="shared" si="3"/>
        <v>1.6989700043360187</v>
      </c>
    </row>
    <row r="32" spans="1:15" x14ac:dyDescent="0.25">
      <c r="A32" s="8" t="s">
        <v>64</v>
      </c>
      <c r="B32" s="6">
        <v>6.5650000000000004</v>
      </c>
      <c r="C32" s="7">
        <v>0.01</v>
      </c>
      <c r="D32" s="6">
        <f t="shared" si="0"/>
        <v>2</v>
      </c>
      <c r="E32" s="6">
        <v>3.5289999999999999</v>
      </c>
      <c r="F32" s="7">
        <v>0.06</v>
      </c>
      <c r="G32" s="6">
        <f t="shared" si="1"/>
        <v>1.2218487496163564</v>
      </c>
      <c r="I32" t="s">
        <v>63</v>
      </c>
      <c r="J32" s="3">
        <v>5.9480000000000004</v>
      </c>
      <c r="K32" s="10">
        <v>1.47E-2</v>
      </c>
      <c r="L32" s="6">
        <f t="shared" si="2"/>
        <v>1.832682665251824</v>
      </c>
      <c r="M32" s="3">
        <v>2.145</v>
      </c>
      <c r="N32" s="9">
        <v>0.14299999999999999</v>
      </c>
      <c r="O32" s="6">
        <f t="shared" si="3"/>
        <v>0.84466396253493825</v>
      </c>
    </row>
    <row r="33" spans="1:15" x14ac:dyDescent="0.25">
      <c r="A33" t="s">
        <v>62</v>
      </c>
      <c r="B33" s="6">
        <v>0.42670000000000002</v>
      </c>
      <c r="C33" s="7">
        <v>0.23300000000000001</v>
      </c>
      <c r="D33" s="6">
        <f t="shared" si="0"/>
        <v>0.63264407897398101</v>
      </c>
      <c r="E33" s="6">
        <v>1.157E-2</v>
      </c>
      <c r="F33" s="7">
        <v>0.9143</v>
      </c>
      <c r="G33" s="6">
        <f t="shared" si="1"/>
        <v>3.8911280232103856E-2</v>
      </c>
      <c r="I33" t="s">
        <v>61</v>
      </c>
      <c r="J33" s="3">
        <v>4.5179999999999998</v>
      </c>
      <c r="K33" s="10">
        <v>3.3500000000000002E-2</v>
      </c>
      <c r="L33" s="6">
        <f t="shared" si="2"/>
        <v>1.4749551929631548</v>
      </c>
      <c r="M33" s="3">
        <v>5.2130000000000001</v>
      </c>
      <c r="N33" s="9">
        <v>2.24E-2</v>
      </c>
      <c r="O33" s="6">
        <f t="shared" si="3"/>
        <v>1.6497519816658373</v>
      </c>
    </row>
    <row r="34" spans="1:15" x14ac:dyDescent="0.25">
      <c r="A34" t="s">
        <v>60</v>
      </c>
      <c r="B34" s="6">
        <v>3.5190000000000001</v>
      </c>
      <c r="C34" s="7">
        <v>6.0699999999999997E-2</v>
      </c>
      <c r="D34" s="6">
        <f t="shared" si="0"/>
        <v>1.2168113089247425</v>
      </c>
      <c r="E34" s="6">
        <v>3.2189999999999999</v>
      </c>
      <c r="F34" s="7">
        <v>7.2800000000000004E-2</v>
      </c>
      <c r="G34" s="6">
        <f t="shared" si="1"/>
        <v>1.1378686206869628</v>
      </c>
      <c r="I34" t="s">
        <v>59</v>
      </c>
      <c r="J34" s="3">
        <v>4.431</v>
      </c>
      <c r="K34" s="10">
        <v>3.5299999999999998E-2</v>
      </c>
      <c r="L34" s="6">
        <f t="shared" si="2"/>
        <v>1.4522252946121774</v>
      </c>
      <c r="M34" s="3">
        <v>4.7480000000000002</v>
      </c>
      <c r="N34" s="9">
        <v>2.93E-2</v>
      </c>
      <c r="O34" s="6">
        <f t="shared" si="3"/>
        <v>1.5331323796458904</v>
      </c>
    </row>
    <row r="35" spans="1:15" x14ac:dyDescent="0.25">
      <c r="A35" t="s">
        <v>58</v>
      </c>
      <c r="B35" s="6">
        <v>3.141</v>
      </c>
      <c r="C35" s="7">
        <v>7.6399999999999996E-2</v>
      </c>
      <c r="D35" s="6">
        <f t="shared" ref="D35:D66" si="4">LOG(1/C35)</f>
        <v>1.1169066414243101</v>
      </c>
      <c r="E35" s="6">
        <v>2.387</v>
      </c>
      <c r="F35" s="7">
        <v>0.12239999999999999</v>
      </c>
      <c r="G35" s="6">
        <f t="shared" ref="G35:G66" si="5">LOG(1/F35)</f>
        <v>0.91221858219045771</v>
      </c>
      <c r="I35" t="s">
        <v>57</v>
      </c>
      <c r="J35" s="3">
        <v>2.036</v>
      </c>
      <c r="K35" s="10">
        <v>0.1535</v>
      </c>
      <c r="L35" s="6">
        <f t="shared" si="2"/>
        <v>0.81389162018679473</v>
      </c>
      <c r="M35" s="3">
        <v>1.2390000000000001</v>
      </c>
      <c r="N35" s="9">
        <v>0.2656</v>
      </c>
      <c r="O35" s="6">
        <f t="shared" si="3"/>
        <v>0.5757719293040201</v>
      </c>
    </row>
    <row r="36" spans="1:15" x14ac:dyDescent="0.25">
      <c r="A36" t="s">
        <v>56</v>
      </c>
      <c r="B36" s="6">
        <v>4.3959999999999999</v>
      </c>
      <c r="C36" s="7">
        <v>3.5999999999999997E-2</v>
      </c>
      <c r="D36" s="6">
        <f t="shared" si="4"/>
        <v>1.4436974992327127</v>
      </c>
      <c r="E36" s="6">
        <v>2.1459999999999999</v>
      </c>
      <c r="F36" s="7">
        <v>0.1429</v>
      </c>
      <c r="G36" s="6">
        <f t="shared" si="5"/>
        <v>0.84496777120902977</v>
      </c>
      <c r="I36" s="8" t="s">
        <v>55</v>
      </c>
      <c r="J36" s="3">
        <v>5.1760000000000002</v>
      </c>
      <c r="K36" s="10">
        <v>2.3E-2</v>
      </c>
      <c r="L36" s="6">
        <f t="shared" si="2"/>
        <v>1.6382721639824072</v>
      </c>
      <c r="M36" s="3">
        <v>7.2210000000000001</v>
      </c>
      <c r="N36" s="9">
        <v>7.2399999999999999E-3</v>
      </c>
      <c r="O36" s="6">
        <f t="shared" si="3"/>
        <v>2.1402614338028529</v>
      </c>
    </row>
    <row r="37" spans="1:15" x14ac:dyDescent="0.25">
      <c r="A37" t="s">
        <v>54</v>
      </c>
      <c r="B37" s="6">
        <v>5.5289999999999999</v>
      </c>
      <c r="C37" s="6">
        <v>1.8700000000000001E-2</v>
      </c>
      <c r="D37" s="6">
        <f t="shared" si="4"/>
        <v>1.728158393463501</v>
      </c>
      <c r="E37" s="6">
        <v>2.2080000000000002</v>
      </c>
      <c r="F37" s="6">
        <v>0.13730000000000001</v>
      </c>
      <c r="G37" s="6">
        <f t="shared" si="5"/>
        <v>0.86232946276324485</v>
      </c>
      <c r="I37" t="s">
        <v>53</v>
      </c>
      <c r="J37" s="3">
        <v>5.1959999999999997</v>
      </c>
      <c r="K37" s="10">
        <v>2.2599999999999999E-2</v>
      </c>
      <c r="L37" s="6">
        <f t="shared" si="2"/>
        <v>1.645891560852599</v>
      </c>
      <c r="M37" s="3">
        <v>5.69</v>
      </c>
      <c r="N37" s="9">
        <v>1.7100000000000001E-2</v>
      </c>
      <c r="O37" s="6">
        <f t="shared" si="3"/>
        <v>1.7670038896078462</v>
      </c>
    </row>
    <row r="38" spans="1:15" x14ac:dyDescent="0.25">
      <c r="A38" t="s">
        <v>52</v>
      </c>
      <c r="B38" s="6">
        <v>0.39839999999999998</v>
      </c>
      <c r="C38" s="7">
        <v>0.41599999999999998</v>
      </c>
      <c r="D38" s="6">
        <f t="shared" si="4"/>
        <v>0.38090666937325723</v>
      </c>
      <c r="E38" s="6">
        <v>0.29799999999999999</v>
      </c>
      <c r="F38" s="7">
        <v>0.58509999999999995</v>
      </c>
      <c r="G38" s="6">
        <f t="shared" si="5"/>
        <v>0.23276990188928176</v>
      </c>
      <c r="I38" t="s">
        <v>51</v>
      </c>
      <c r="J38" s="3">
        <v>4.84</v>
      </c>
      <c r="K38" s="10">
        <v>2.7799999999999998E-2</v>
      </c>
      <c r="L38" s="6">
        <f t="shared" si="2"/>
        <v>1.5559552040819238</v>
      </c>
      <c r="M38" s="3">
        <v>4.9390000000000001</v>
      </c>
      <c r="N38" s="9">
        <v>2.63E-2</v>
      </c>
      <c r="O38" s="6">
        <f t="shared" si="3"/>
        <v>1.5800442515102422</v>
      </c>
    </row>
    <row r="39" spans="1:15" x14ac:dyDescent="0.25">
      <c r="A39" t="s">
        <v>50</v>
      </c>
      <c r="B39" s="6">
        <v>2.782</v>
      </c>
      <c r="C39" s="7">
        <v>7.1400000000000005E-2</v>
      </c>
      <c r="D39" s="6">
        <f t="shared" si="4"/>
        <v>1.1463017882238256</v>
      </c>
      <c r="E39" s="6">
        <v>4.3819999999999997</v>
      </c>
      <c r="F39" s="7">
        <v>3.6299999999999999E-2</v>
      </c>
      <c r="G39" s="6">
        <f t="shared" si="5"/>
        <v>1.4400933749638876</v>
      </c>
      <c r="L39" s="6"/>
      <c r="O39" s="6"/>
    </row>
    <row r="40" spans="1:15" x14ac:dyDescent="0.25">
      <c r="A40" t="s">
        <v>49</v>
      </c>
      <c r="B40" s="6">
        <v>4.2859999999999996</v>
      </c>
      <c r="C40" s="7">
        <v>3.8399999999999997E-2</v>
      </c>
      <c r="D40" s="6">
        <f t="shared" si="4"/>
        <v>1.4156687756324693</v>
      </c>
      <c r="E40" s="6">
        <v>3.4220000000000002</v>
      </c>
      <c r="F40" s="7">
        <v>6.4299999999999996E-2</v>
      </c>
      <c r="G40" s="6">
        <f t="shared" si="5"/>
        <v>1.1917890270757781</v>
      </c>
      <c r="L40" s="6"/>
      <c r="O40" s="6"/>
    </row>
    <row r="41" spans="1:15" x14ac:dyDescent="0.25">
      <c r="A41" t="s">
        <v>48</v>
      </c>
      <c r="B41" s="6">
        <v>3.5720000000000001</v>
      </c>
      <c r="C41" s="7">
        <v>5.8700000000000002E-2</v>
      </c>
      <c r="D41" s="6">
        <f t="shared" si="4"/>
        <v>1.2313618987523856</v>
      </c>
      <c r="E41" s="6">
        <v>2.9390000000000001</v>
      </c>
      <c r="F41" s="7">
        <v>8.6400000000000005E-2</v>
      </c>
      <c r="G41" s="6">
        <f t="shared" si="5"/>
        <v>1.0634862575211066</v>
      </c>
      <c r="L41" s="6"/>
      <c r="O41" s="6"/>
    </row>
    <row r="42" spans="1:15" x14ac:dyDescent="0.25">
      <c r="A42" t="s">
        <v>47</v>
      </c>
      <c r="B42" s="6">
        <v>2.633</v>
      </c>
      <c r="C42" s="7">
        <v>0.1046</v>
      </c>
      <c r="D42" s="6">
        <f t="shared" si="4"/>
        <v>0.98046831546874458</v>
      </c>
      <c r="E42" s="6">
        <v>2.214</v>
      </c>
      <c r="F42" s="7">
        <v>0.1368</v>
      </c>
      <c r="G42" s="6">
        <f t="shared" si="5"/>
        <v>0.86391390261590262</v>
      </c>
      <c r="L42" s="6"/>
      <c r="O42" s="6"/>
    </row>
    <row r="43" spans="1:15" x14ac:dyDescent="0.25">
      <c r="A43" t="s">
        <v>46</v>
      </c>
      <c r="B43" s="6">
        <v>5.0309999999999997</v>
      </c>
      <c r="C43" s="7">
        <v>1.21E-2</v>
      </c>
      <c r="D43" s="6">
        <f t="shared" si="4"/>
        <v>1.9172146296835499</v>
      </c>
      <c r="E43" s="6">
        <v>4.7080000000000002</v>
      </c>
      <c r="F43" s="7">
        <v>0.03</v>
      </c>
      <c r="G43" s="6">
        <f t="shared" si="5"/>
        <v>1.5228787452803376</v>
      </c>
      <c r="L43" s="6"/>
      <c r="O43" s="6"/>
    </row>
    <row r="44" spans="1:15" x14ac:dyDescent="0.25">
      <c r="A44" t="s">
        <v>45</v>
      </c>
      <c r="B44" s="6">
        <v>3.0670000000000002</v>
      </c>
      <c r="C44" s="7">
        <v>7.9899999999999999E-2</v>
      </c>
      <c r="D44" s="6">
        <f t="shared" si="4"/>
        <v>1.0974532206860086</v>
      </c>
      <c r="E44" s="6">
        <v>1.228</v>
      </c>
      <c r="F44" s="7">
        <v>0.26779999999999998</v>
      </c>
      <c r="G44" s="6">
        <f t="shared" si="5"/>
        <v>0.5721894273240099</v>
      </c>
      <c r="L44" s="6"/>
      <c r="O44" s="6"/>
    </row>
    <row r="45" spans="1:15" x14ac:dyDescent="0.25">
      <c r="A45" t="s">
        <v>44</v>
      </c>
      <c r="B45" s="6">
        <v>1.831</v>
      </c>
      <c r="C45" s="7">
        <v>0.17599999999999999</v>
      </c>
      <c r="D45" s="6">
        <f t="shared" si="4"/>
        <v>0.75448733218585018</v>
      </c>
      <c r="E45" s="6">
        <v>2.2370000000000001</v>
      </c>
      <c r="F45" s="7">
        <v>0.1348</v>
      </c>
      <c r="G45" s="6">
        <f t="shared" si="5"/>
        <v>0.87031010780069895</v>
      </c>
      <c r="L45" s="6"/>
      <c r="O45" s="6"/>
    </row>
    <row r="46" spans="1:15" x14ac:dyDescent="0.25">
      <c r="A46" t="s">
        <v>43</v>
      </c>
      <c r="B46" s="6">
        <v>1.948</v>
      </c>
      <c r="C46" s="7">
        <v>6.2399999999999997E-2</v>
      </c>
      <c r="D46" s="6">
        <f t="shared" si="4"/>
        <v>1.2048154103175761</v>
      </c>
      <c r="E46" s="6">
        <v>3.3239999999999998</v>
      </c>
      <c r="F46" s="7">
        <v>6.83E-2</v>
      </c>
      <c r="G46" s="6">
        <f t="shared" si="5"/>
        <v>1.1655792963184675</v>
      </c>
      <c r="L46" s="6"/>
      <c r="O46" s="6"/>
    </row>
    <row r="47" spans="1:15" x14ac:dyDescent="0.25">
      <c r="A47" t="s">
        <v>42</v>
      </c>
      <c r="B47" s="6">
        <v>5.484</v>
      </c>
      <c r="C47" s="7">
        <v>1.9199999999999998E-2</v>
      </c>
      <c r="D47" s="6">
        <f t="shared" si="4"/>
        <v>1.7166987712964503</v>
      </c>
      <c r="E47" s="6">
        <v>2.298</v>
      </c>
      <c r="F47" s="7">
        <v>0.12959999999999999</v>
      </c>
      <c r="G47" s="6">
        <f t="shared" si="5"/>
        <v>0.88739499846542547</v>
      </c>
      <c r="L47" s="6"/>
      <c r="O47" s="6"/>
    </row>
    <row r="48" spans="1:15" x14ac:dyDescent="0.25">
      <c r="A48" t="s">
        <v>41</v>
      </c>
      <c r="B48" s="6">
        <v>5.4820000000000002</v>
      </c>
      <c r="C48" s="7">
        <v>1.9199999999999998E-2</v>
      </c>
      <c r="D48" s="6">
        <f t="shared" si="4"/>
        <v>1.7166987712964503</v>
      </c>
      <c r="E48" s="6">
        <v>3.9159999999999999</v>
      </c>
      <c r="F48" s="7">
        <v>4.7800000000000002E-2</v>
      </c>
      <c r="G48" s="6">
        <f t="shared" si="5"/>
        <v>1.320572103387881</v>
      </c>
      <c r="L48" s="6"/>
      <c r="O48" s="6"/>
    </row>
    <row r="49" spans="1:15" x14ac:dyDescent="0.25">
      <c r="A49" t="s">
        <v>40</v>
      </c>
      <c r="B49" s="6">
        <v>2.3860000000000001</v>
      </c>
      <c r="C49" s="7">
        <v>8.2699999999999996E-2</v>
      </c>
      <c r="D49" s="6">
        <f t="shared" si="4"/>
        <v>1.0824944904474534</v>
      </c>
      <c r="E49" s="6">
        <v>1.833</v>
      </c>
      <c r="F49" s="7">
        <v>0.17799999999999999</v>
      </c>
      <c r="G49" s="6">
        <f t="shared" si="5"/>
        <v>0.74957999769110606</v>
      </c>
      <c r="L49" s="6"/>
      <c r="O49" s="6"/>
    </row>
    <row r="50" spans="1:15" x14ac:dyDescent="0.25">
      <c r="A50" t="s">
        <v>39</v>
      </c>
      <c r="B50" s="6">
        <v>1.9039999999999999</v>
      </c>
      <c r="C50" s="7">
        <v>0.1676</v>
      </c>
      <c r="D50" s="6">
        <f t="shared" si="4"/>
        <v>0.77572598570574225</v>
      </c>
      <c r="E50" s="6">
        <v>0.82750000000000001</v>
      </c>
      <c r="F50" s="7">
        <v>0.36299999999999999</v>
      </c>
      <c r="G50" s="6">
        <f t="shared" si="5"/>
        <v>0.44009337496388751</v>
      </c>
      <c r="L50" s="6"/>
      <c r="O50" s="6"/>
    </row>
    <row r="51" spans="1:15" x14ac:dyDescent="0.25">
      <c r="A51" t="s">
        <v>38</v>
      </c>
      <c r="B51" s="6">
        <v>0.68789999999999996</v>
      </c>
      <c r="C51" s="7">
        <v>0.377</v>
      </c>
      <c r="D51" s="6">
        <f t="shared" si="4"/>
        <v>0.42365864979420714</v>
      </c>
      <c r="E51" s="6">
        <v>1.1020000000000001</v>
      </c>
      <c r="F51" s="7">
        <v>0.29380000000000001</v>
      </c>
      <c r="G51" s="6">
        <f t="shared" si="5"/>
        <v>0.5319482085457623</v>
      </c>
      <c r="L51" s="6"/>
      <c r="O51" s="6"/>
    </row>
    <row r="52" spans="1:15" x14ac:dyDescent="0.25">
      <c r="A52" t="s">
        <v>37</v>
      </c>
      <c r="B52" s="6">
        <v>1.8480000000000001</v>
      </c>
      <c r="C52" s="7">
        <v>0.17399999999999999</v>
      </c>
      <c r="D52" s="6">
        <f t="shared" si="4"/>
        <v>0.75945075171740029</v>
      </c>
      <c r="E52" s="6">
        <v>1.444</v>
      </c>
      <c r="F52" s="7">
        <v>0.22950000000000001</v>
      </c>
      <c r="G52" s="6">
        <f t="shared" si="5"/>
        <v>0.6392173101267199</v>
      </c>
      <c r="L52" s="6"/>
      <c r="O52" s="6"/>
    </row>
    <row r="53" spans="1:15" x14ac:dyDescent="0.25">
      <c r="A53" t="s">
        <v>36</v>
      </c>
      <c r="B53" s="6">
        <v>4.7060000000000004</v>
      </c>
      <c r="C53" s="7">
        <v>0.03</v>
      </c>
      <c r="D53" s="6">
        <f t="shared" si="4"/>
        <v>1.5228787452803376</v>
      </c>
      <c r="E53" s="6">
        <v>1.893</v>
      </c>
      <c r="F53" s="7">
        <v>0.16889999999999999</v>
      </c>
      <c r="G53" s="6">
        <f t="shared" si="5"/>
        <v>0.77237035042899138</v>
      </c>
      <c r="L53" s="6"/>
      <c r="O53" s="6"/>
    </row>
    <row r="54" spans="1:15" x14ac:dyDescent="0.25">
      <c r="A54" t="s">
        <v>35</v>
      </c>
      <c r="B54" s="6">
        <v>3.9430000000000001</v>
      </c>
      <c r="C54" s="7">
        <v>4.7100000000000003E-2</v>
      </c>
      <c r="D54" s="6">
        <f t="shared" si="4"/>
        <v>1.3269790928711038</v>
      </c>
      <c r="E54" s="6">
        <v>0.97109999999999996</v>
      </c>
      <c r="F54" s="7">
        <v>0.32440000000000002</v>
      </c>
      <c r="G54" s="6">
        <f t="shared" si="5"/>
        <v>0.48891915446088152</v>
      </c>
      <c r="L54" s="6"/>
      <c r="O54" s="6"/>
    </row>
    <row r="55" spans="1:15" x14ac:dyDescent="0.25">
      <c r="A55" t="s">
        <v>34</v>
      </c>
      <c r="B55" s="6">
        <v>1.615</v>
      </c>
      <c r="C55" s="7">
        <v>0.20200000000000001</v>
      </c>
      <c r="D55" s="6">
        <f t="shared" si="4"/>
        <v>0.69464863055337622</v>
      </c>
      <c r="E55" s="6">
        <v>0.67830000000000001</v>
      </c>
      <c r="F55" s="7">
        <v>0.41020000000000001</v>
      </c>
      <c r="G55" s="6">
        <f t="shared" si="5"/>
        <v>0.38700434396765249</v>
      </c>
      <c r="L55" s="6"/>
      <c r="O55" s="6"/>
    </row>
    <row r="56" spans="1:15" x14ac:dyDescent="0.25">
      <c r="A56" t="s">
        <v>33</v>
      </c>
      <c r="B56" s="6">
        <v>3.1909999999999998</v>
      </c>
      <c r="C56" s="7">
        <v>7.4099999999999999E-2</v>
      </c>
      <c r="D56" s="6">
        <f t="shared" si="4"/>
        <v>1.1301817920206718</v>
      </c>
      <c r="E56" s="6">
        <v>0.31990000000000002</v>
      </c>
      <c r="F56" s="7">
        <v>0.5716</v>
      </c>
      <c r="G56" s="6">
        <f t="shared" si="5"/>
        <v>0.2429077798810674</v>
      </c>
      <c r="L56" s="6"/>
      <c r="O56" s="6"/>
    </row>
    <row r="57" spans="1:15" x14ac:dyDescent="0.25">
      <c r="A57" t="s">
        <v>32</v>
      </c>
      <c r="B57" s="6">
        <v>4.3360000000000003</v>
      </c>
      <c r="C57" s="7">
        <v>3.6999999999999998E-2</v>
      </c>
      <c r="D57" s="6">
        <f t="shared" si="4"/>
        <v>1.431798275933005</v>
      </c>
      <c r="E57" s="6">
        <v>2.0579999999999998</v>
      </c>
      <c r="F57" s="7">
        <v>0.15140000000000001</v>
      </c>
      <c r="G57" s="6">
        <f t="shared" si="5"/>
        <v>0.81987412483594602</v>
      </c>
      <c r="L57" s="6"/>
      <c r="O57" s="6"/>
    </row>
    <row r="58" spans="1:15" x14ac:dyDescent="0.25">
      <c r="A58" t="s">
        <v>31</v>
      </c>
      <c r="B58" s="6">
        <v>2.1880000000000002</v>
      </c>
      <c r="C58" s="7">
        <v>0.13800000000000001</v>
      </c>
      <c r="D58" s="6">
        <f t="shared" si="4"/>
        <v>0.86012091359876341</v>
      </c>
      <c r="E58" s="6">
        <v>2.0329999999999999</v>
      </c>
      <c r="F58" s="7">
        <v>0.15390000000000001</v>
      </c>
      <c r="G58" s="6">
        <f t="shared" si="5"/>
        <v>0.81276138016852129</v>
      </c>
      <c r="L58" s="6"/>
      <c r="O58" s="6"/>
    </row>
    <row r="59" spans="1:15" x14ac:dyDescent="0.25">
      <c r="A59" t="s">
        <v>30</v>
      </c>
      <c r="B59" s="6">
        <v>1.734</v>
      </c>
      <c r="C59" s="7">
        <v>0.13800000000000001</v>
      </c>
      <c r="D59" s="6">
        <f t="shared" si="4"/>
        <v>0.86012091359876341</v>
      </c>
      <c r="E59" s="6">
        <v>1.704</v>
      </c>
      <c r="F59" s="7">
        <v>0.19170000000000001</v>
      </c>
      <c r="G59" s="6">
        <f t="shared" si="5"/>
        <v>0.7173778871219374</v>
      </c>
      <c r="L59" s="6"/>
      <c r="O59" s="6"/>
    </row>
    <row r="60" spans="1:15" x14ac:dyDescent="0.25">
      <c r="A60" t="s">
        <v>29</v>
      </c>
      <c r="B60" s="6">
        <v>2.0179999999999998</v>
      </c>
      <c r="C60" s="7">
        <v>0.155</v>
      </c>
      <c r="D60" s="6">
        <f t="shared" si="4"/>
        <v>0.8096683018297085</v>
      </c>
      <c r="E60" s="6">
        <v>0.80320000000000003</v>
      </c>
      <c r="F60" s="7">
        <v>0.37009999999999998</v>
      </c>
      <c r="G60" s="6">
        <f t="shared" si="5"/>
        <v>0.43168091490488825</v>
      </c>
      <c r="L60" s="6"/>
      <c r="O60" s="6"/>
    </row>
    <row r="61" spans="1:15" x14ac:dyDescent="0.25">
      <c r="A61" t="s">
        <v>28</v>
      </c>
      <c r="B61" s="6">
        <v>2.1850000000000001</v>
      </c>
      <c r="C61" s="7">
        <v>0.13930000000000001</v>
      </c>
      <c r="D61" s="6">
        <f t="shared" si="4"/>
        <v>0.85604888357603648</v>
      </c>
      <c r="E61" s="7">
        <v>0.17319999999999999</v>
      </c>
      <c r="F61" s="7">
        <v>0.67720000000000002</v>
      </c>
      <c r="G61" s="6">
        <f t="shared" si="5"/>
        <v>0.16928305056310233</v>
      </c>
      <c r="L61" s="6"/>
      <c r="O61" s="6"/>
    </row>
    <row r="62" spans="1:15" x14ac:dyDescent="0.25">
      <c r="A62" s="8" t="s">
        <v>27</v>
      </c>
      <c r="B62" s="6">
        <v>5.9260000000000002</v>
      </c>
      <c r="C62" s="7">
        <v>1.24E-2</v>
      </c>
      <c r="D62" s="6">
        <f t="shared" si="4"/>
        <v>1.9065783148377649</v>
      </c>
      <c r="E62" s="6">
        <v>10.59</v>
      </c>
      <c r="F62" s="7">
        <v>1.1000000000000001E-3</v>
      </c>
      <c r="G62" s="6">
        <f t="shared" si="5"/>
        <v>2.9586073148417751</v>
      </c>
      <c r="L62" s="6"/>
      <c r="O62" s="6"/>
    </row>
    <row r="63" spans="1:15" x14ac:dyDescent="0.25">
      <c r="A63" t="s">
        <v>26</v>
      </c>
      <c r="B63" s="6">
        <v>1.5740000000000001</v>
      </c>
      <c r="C63" s="7">
        <v>0.17499999999999999</v>
      </c>
      <c r="D63" s="6">
        <f t="shared" si="4"/>
        <v>0.75696195131370558</v>
      </c>
      <c r="E63" s="6">
        <v>0.5202</v>
      </c>
      <c r="F63" s="7">
        <v>0.4708</v>
      </c>
      <c r="G63" s="6">
        <f t="shared" si="5"/>
        <v>0.32716354582860291</v>
      </c>
      <c r="L63" s="6"/>
      <c r="O63" s="6"/>
    </row>
    <row r="64" spans="1:15" x14ac:dyDescent="0.25">
      <c r="A64" t="s">
        <v>25</v>
      </c>
      <c r="B64" s="6">
        <v>1.9930000000000001</v>
      </c>
      <c r="C64" s="7">
        <v>0.16</v>
      </c>
      <c r="D64" s="6">
        <f t="shared" si="4"/>
        <v>0.79588001734407521</v>
      </c>
      <c r="E64" s="6">
        <v>0.99299999999999999</v>
      </c>
      <c r="F64" s="7">
        <v>0.31900000000000001</v>
      </c>
      <c r="G64" s="6">
        <f t="shared" si="5"/>
        <v>0.49620931694281883</v>
      </c>
      <c r="L64" s="6"/>
      <c r="O64" s="6"/>
    </row>
    <row r="65" spans="1:15" x14ac:dyDescent="0.25">
      <c r="A65" t="s">
        <v>24</v>
      </c>
      <c r="B65" s="6">
        <v>1.768</v>
      </c>
      <c r="C65" s="7">
        <v>0.26500000000000001</v>
      </c>
      <c r="D65" s="6">
        <f t="shared" si="4"/>
        <v>0.5767541260631921</v>
      </c>
      <c r="E65" s="6">
        <v>0.38379999999999997</v>
      </c>
      <c r="F65" s="7">
        <v>0.53559999999999997</v>
      </c>
      <c r="G65" s="6">
        <f t="shared" si="5"/>
        <v>0.27115943166002865</v>
      </c>
      <c r="L65" s="6"/>
      <c r="O65" s="6"/>
    </row>
    <row r="66" spans="1:15" x14ac:dyDescent="0.25">
      <c r="A66" t="s">
        <v>23</v>
      </c>
      <c r="B66" s="6">
        <v>1.3340000000000001</v>
      </c>
      <c r="C66" s="7">
        <v>0.158</v>
      </c>
      <c r="D66" s="6">
        <f t="shared" si="4"/>
        <v>0.80134291304557737</v>
      </c>
      <c r="E66" s="6">
        <v>2.5129999999999999</v>
      </c>
      <c r="F66" s="7">
        <v>0.1129</v>
      </c>
      <c r="G66" s="6">
        <f t="shared" si="5"/>
        <v>0.9473060580750321</v>
      </c>
      <c r="L66" s="6"/>
      <c r="O66" s="6"/>
    </row>
    <row r="67" spans="1:15" x14ac:dyDescent="0.25">
      <c r="A67" t="s">
        <v>22</v>
      </c>
      <c r="B67" s="6">
        <v>2.1139999999999999</v>
      </c>
      <c r="C67" s="7">
        <v>0.121</v>
      </c>
      <c r="D67" s="6">
        <f t="shared" ref="D67:D98" si="6">LOG(1/C67)</f>
        <v>0.91721462968354994</v>
      </c>
      <c r="E67" s="6">
        <v>1.6160000000000001</v>
      </c>
      <c r="F67" s="7">
        <v>0.2036</v>
      </c>
      <c r="G67" s="6">
        <f t="shared" ref="G67:G98" si="7">LOG(1/F67)</f>
        <v>0.69122222633527886</v>
      </c>
      <c r="L67" s="6"/>
      <c r="O67" s="6"/>
    </row>
    <row r="68" spans="1:15" x14ac:dyDescent="0.25">
      <c r="A68" t="s">
        <v>21</v>
      </c>
      <c r="B68" s="6">
        <v>2.96</v>
      </c>
      <c r="C68" s="7">
        <v>8.5400000000000004E-2</v>
      </c>
      <c r="D68" s="6">
        <f t="shared" si="6"/>
        <v>1.0685421293109949</v>
      </c>
      <c r="E68" s="6">
        <v>1.667</v>
      </c>
      <c r="F68" s="7">
        <v>0.1966</v>
      </c>
      <c r="G68" s="6">
        <f t="shared" si="7"/>
        <v>0.70641648650388322</v>
      </c>
      <c r="L68" s="6"/>
      <c r="O68" s="6"/>
    </row>
    <row r="69" spans="1:15" x14ac:dyDescent="0.25">
      <c r="A69" s="8" t="s">
        <v>20</v>
      </c>
      <c r="B69" s="6">
        <v>6.9349999999999996</v>
      </c>
      <c r="C69" s="7">
        <v>8.5000000000000006E-3</v>
      </c>
      <c r="D69" s="6">
        <f t="shared" si="6"/>
        <v>2.0705810742857071</v>
      </c>
      <c r="E69" s="6">
        <v>3.996</v>
      </c>
      <c r="F69" s="7">
        <v>4.5600000000000002E-2</v>
      </c>
      <c r="G69" s="6">
        <f t="shared" si="7"/>
        <v>1.341035157335565</v>
      </c>
      <c r="L69" s="6"/>
      <c r="O69" s="6"/>
    </row>
    <row r="70" spans="1:15" x14ac:dyDescent="0.25">
      <c r="A70" t="s">
        <v>19</v>
      </c>
      <c r="B70" s="6">
        <v>3.8279999999999998</v>
      </c>
      <c r="C70" s="7">
        <v>5.04E-2</v>
      </c>
      <c r="D70" s="6">
        <f t="shared" si="6"/>
        <v>1.2975694635544748</v>
      </c>
      <c r="E70" s="6">
        <v>0.41060000000000002</v>
      </c>
      <c r="F70" s="7">
        <v>0.52170000000000005</v>
      </c>
      <c r="G70" s="6">
        <f t="shared" si="7"/>
        <v>0.28257916327762506</v>
      </c>
      <c r="L70" s="6"/>
      <c r="O70" s="6"/>
    </row>
    <row r="71" spans="1:15" x14ac:dyDescent="0.25">
      <c r="A71" t="s">
        <v>18</v>
      </c>
      <c r="B71" s="6">
        <v>3.36</v>
      </c>
      <c r="C71" s="7">
        <v>6.6799999999999998E-2</v>
      </c>
      <c r="D71" s="6">
        <f t="shared" si="6"/>
        <v>1.1752235375244544</v>
      </c>
      <c r="E71" s="6">
        <v>2.6120000000000001</v>
      </c>
      <c r="F71" s="7">
        <v>0.106</v>
      </c>
      <c r="G71" s="6">
        <f t="shared" si="7"/>
        <v>0.97469413473522981</v>
      </c>
      <c r="L71" s="6"/>
      <c r="O71" s="6"/>
    </row>
    <row r="72" spans="1:15" x14ac:dyDescent="0.25">
      <c r="A72" t="s">
        <v>17</v>
      </c>
      <c r="B72" s="6">
        <v>4.6609999999999996</v>
      </c>
      <c r="C72" s="7">
        <v>3.09E-2</v>
      </c>
      <c r="D72" s="6">
        <f t="shared" si="6"/>
        <v>1.5100415205751654</v>
      </c>
      <c r="E72" s="6">
        <v>2.4340000000000002</v>
      </c>
      <c r="F72" s="7">
        <v>0.1187</v>
      </c>
      <c r="G72" s="6">
        <f t="shared" si="7"/>
        <v>0.92554928104540879</v>
      </c>
      <c r="L72" s="6"/>
      <c r="O72" s="6"/>
    </row>
    <row r="73" spans="1:15" x14ac:dyDescent="0.25">
      <c r="A73" t="s">
        <v>16</v>
      </c>
      <c r="B73" s="6">
        <v>3.4350000000000001</v>
      </c>
      <c r="C73" s="7">
        <v>6.3799999999999996E-2</v>
      </c>
      <c r="D73" s="6">
        <f t="shared" si="6"/>
        <v>1.1951793212788377</v>
      </c>
      <c r="E73" s="6">
        <v>0.89139999999999997</v>
      </c>
      <c r="F73" s="7">
        <v>0.34510000000000002</v>
      </c>
      <c r="G73" s="6">
        <f t="shared" si="7"/>
        <v>0.46205504070851311</v>
      </c>
      <c r="L73" s="6"/>
      <c r="O73" s="6"/>
    </row>
    <row r="74" spans="1:15" x14ac:dyDescent="0.25">
      <c r="A74" t="s">
        <v>15</v>
      </c>
      <c r="B74" s="6">
        <v>2.8069999999999999</v>
      </c>
      <c r="C74" s="7">
        <v>9.2999999999999999E-2</v>
      </c>
      <c r="D74" s="6">
        <f t="shared" si="6"/>
        <v>1.0315170514460648</v>
      </c>
      <c r="E74" s="6">
        <v>0.35070000000000001</v>
      </c>
      <c r="F74" s="7">
        <v>0.55369999999999997</v>
      </c>
      <c r="G74" s="6">
        <f t="shared" si="7"/>
        <v>0.25672547648806665</v>
      </c>
      <c r="L74" s="6"/>
      <c r="O74" s="6"/>
    </row>
    <row r="75" spans="1:15" x14ac:dyDescent="0.25">
      <c r="A75" t="s">
        <v>14</v>
      </c>
      <c r="B75" s="6">
        <v>3.61</v>
      </c>
      <c r="C75" s="7">
        <v>5.74E-2</v>
      </c>
      <c r="D75" s="6">
        <f t="shared" si="6"/>
        <v>1.2410881076020266</v>
      </c>
      <c r="E75" s="6">
        <v>2.387</v>
      </c>
      <c r="F75" s="7">
        <v>0.12230000000000001</v>
      </c>
      <c r="G75" s="6">
        <f t="shared" si="7"/>
        <v>0.91257354296371451</v>
      </c>
      <c r="L75" s="6"/>
      <c r="O75" s="6"/>
    </row>
    <row r="76" spans="1:15" x14ac:dyDescent="0.25">
      <c r="A76" t="s">
        <v>13</v>
      </c>
      <c r="B76" s="6">
        <v>4.3570000000000002</v>
      </c>
      <c r="C76" s="7">
        <v>3.6900000000000002E-2</v>
      </c>
      <c r="D76" s="6">
        <f t="shared" si="6"/>
        <v>1.4329736338409396</v>
      </c>
      <c r="E76" s="6">
        <v>2.4710000000000001</v>
      </c>
      <c r="F76" s="7">
        <v>0.11600000000000001</v>
      </c>
      <c r="G76" s="6">
        <f t="shared" si="7"/>
        <v>0.93554201077308152</v>
      </c>
      <c r="L76" s="6"/>
      <c r="O76" s="6"/>
    </row>
    <row r="77" spans="1:15" x14ac:dyDescent="0.25">
      <c r="A77" t="s">
        <v>12</v>
      </c>
      <c r="B77" s="6">
        <v>2.758</v>
      </c>
      <c r="C77" s="7">
        <v>9.6799999999999997E-2</v>
      </c>
      <c r="D77" s="6">
        <f t="shared" si="6"/>
        <v>1.0141246426916064</v>
      </c>
      <c r="E77" s="6">
        <v>4.3099999999999996</v>
      </c>
      <c r="F77" s="7">
        <v>3.7900000000000003E-2</v>
      </c>
      <c r="G77" s="6">
        <f t="shared" si="7"/>
        <v>1.4213607900319276</v>
      </c>
      <c r="L77" s="6"/>
      <c r="O77" s="6"/>
    </row>
    <row r="78" spans="1:15" x14ac:dyDescent="0.25">
      <c r="A78" t="s">
        <v>11</v>
      </c>
      <c r="B78" s="6">
        <v>1.746</v>
      </c>
      <c r="C78" s="7">
        <v>0.18629999999999999</v>
      </c>
      <c r="D78" s="6">
        <f t="shared" si="6"/>
        <v>0.72978714510375731</v>
      </c>
      <c r="E78" s="6">
        <v>0.27300000000000002</v>
      </c>
      <c r="F78" s="7">
        <v>0.60129999999999995</v>
      </c>
      <c r="G78" s="6">
        <f t="shared" si="7"/>
        <v>0.2209087961545009</v>
      </c>
      <c r="L78" s="6"/>
      <c r="O78" s="6"/>
    </row>
    <row r="79" spans="1:15" x14ac:dyDescent="0.25">
      <c r="A79" t="s">
        <v>10</v>
      </c>
      <c r="B79" s="6">
        <v>3.379</v>
      </c>
      <c r="C79" s="7">
        <v>6.6000000000000003E-2</v>
      </c>
      <c r="D79" s="6">
        <f t="shared" si="6"/>
        <v>1.1804560644581312</v>
      </c>
      <c r="E79" s="6">
        <v>3.0609999999999999</v>
      </c>
      <c r="F79" s="7">
        <v>0.08</v>
      </c>
      <c r="G79" s="6">
        <f t="shared" si="7"/>
        <v>1.0969100130080565</v>
      </c>
      <c r="L79" s="6"/>
      <c r="O79" s="6"/>
    </row>
    <row r="80" spans="1:15" x14ac:dyDescent="0.25">
      <c r="A80" t="s">
        <v>9</v>
      </c>
      <c r="B80" s="6">
        <v>6.1130000000000004</v>
      </c>
      <c r="C80" s="7">
        <v>1.34E-2</v>
      </c>
      <c r="D80" s="6">
        <f t="shared" si="6"/>
        <v>1.8728952016351923</v>
      </c>
      <c r="E80" s="6">
        <v>5.2229999999999999</v>
      </c>
      <c r="F80" s="7">
        <v>2.23E-2</v>
      </c>
      <c r="G80" s="6">
        <f t="shared" si="7"/>
        <v>1.6516951369518393</v>
      </c>
      <c r="L80" s="6"/>
      <c r="O80" s="6"/>
    </row>
    <row r="81" spans="1:15" x14ac:dyDescent="0.25">
      <c r="A81" t="s">
        <v>8</v>
      </c>
      <c r="B81" s="6">
        <v>5.21</v>
      </c>
      <c r="C81" s="7">
        <v>2.1600000000000001E-2</v>
      </c>
      <c r="D81" s="6">
        <f t="shared" si="6"/>
        <v>1.6655462488490691</v>
      </c>
      <c r="E81" s="6">
        <v>3.5979999999999999</v>
      </c>
      <c r="F81" s="7">
        <v>5.7799999999999997E-2</v>
      </c>
      <c r="G81" s="6">
        <f t="shared" si="7"/>
        <v>1.238072161579471</v>
      </c>
      <c r="L81" s="6"/>
      <c r="O81" s="6"/>
    </row>
    <row r="82" spans="1:15" x14ac:dyDescent="0.25">
      <c r="A82" t="s">
        <v>7</v>
      </c>
      <c r="B82" s="6">
        <v>1.665</v>
      </c>
      <c r="C82" s="7">
        <v>0.16300000000000001</v>
      </c>
      <c r="D82" s="6">
        <f t="shared" si="6"/>
        <v>0.78781239559604221</v>
      </c>
      <c r="E82" s="6">
        <v>1.4470000000000001</v>
      </c>
      <c r="F82" s="7">
        <v>0.22900000000000001</v>
      </c>
      <c r="G82" s="6">
        <f t="shared" si="7"/>
        <v>0.64016451766011195</v>
      </c>
      <c r="L82" s="6"/>
      <c r="O82" s="6"/>
    </row>
    <row r="83" spans="1:15" x14ac:dyDescent="0.25">
      <c r="A83" t="s">
        <v>6</v>
      </c>
      <c r="B83" s="6">
        <v>0.63829999999999998</v>
      </c>
      <c r="C83" s="7">
        <v>0.36799999999999999</v>
      </c>
      <c r="D83" s="6">
        <f t="shared" si="6"/>
        <v>0.43415218132648237</v>
      </c>
      <c r="E83" s="6">
        <v>3.1240000000000001</v>
      </c>
      <c r="F83" s="7">
        <v>7.7200000000000005E-2</v>
      </c>
      <c r="G83" s="6">
        <f t="shared" si="7"/>
        <v>1.1123826996642638</v>
      </c>
      <c r="L83" s="6"/>
      <c r="O83" s="6"/>
    </row>
    <row r="84" spans="1:15" x14ac:dyDescent="0.25">
      <c r="A84" t="s">
        <v>5</v>
      </c>
      <c r="B84" s="6">
        <v>6.3259999999999996</v>
      </c>
      <c r="C84" s="7">
        <v>1.1900000000000001E-2</v>
      </c>
      <c r="D84" s="6">
        <f t="shared" si="6"/>
        <v>1.9244530386074692</v>
      </c>
      <c r="E84" s="6">
        <v>0.5595</v>
      </c>
      <c r="F84" s="7">
        <v>0.45450000000000002</v>
      </c>
      <c r="G84" s="6">
        <f t="shared" si="7"/>
        <v>0.34246611244201375</v>
      </c>
    </row>
    <row r="85" spans="1:15" x14ac:dyDescent="0.25">
      <c r="A85" t="s">
        <v>4</v>
      </c>
      <c r="B85" s="6">
        <v>1.3720000000000001</v>
      </c>
      <c r="C85" s="7">
        <v>0.24</v>
      </c>
      <c r="D85" s="6">
        <f t="shared" si="6"/>
        <v>0.61978875828839397</v>
      </c>
      <c r="E85" s="6">
        <v>8.5450000000000005E-3</v>
      </c>
      <c r="F85" s="7">
        <v>0.92630000000000001</v>
      </c>
      <c r="G85" s="6">
        <f t="shared" si="7"/>
        <v>3.3248335948622088E-2</v>
      </c>
    </row>
    <row r="86" spans="1:15" x14ac:dyDescent="0.25">
      <c r="A86" t="s">
        <v>3</v>
      </c>
      <c r="B86" s="7">
        <v>5.7640000000000002</v>
      </c>
      <c r="C86" s="7">
        <v>1.6400000000000001E-2</v>
      </c>
      <c r="D86" s="6">
        <f t="shared" si="6"/>
        <v>1.785156151952302</v>
      </c>
      <c r="E86" s="7">
        <v>3.8210000000000002</v>
      </c>
      <c r="F86" s="7">
        <v>5.0599999999999999E-2</v>
      </c>
      <c r="G86" s="6">
        <f t="shared" si="7"/>
        <v>1.2958494831602008</v>
      </c>
    </row>
    <row r="87" spans="1:15" x14ac:dyDescent="0.25">
      <c r="A87" t="s">
        <v>2</v>
      </c>
      <c r="B87" s="6">
        <v>3.851</v>
      </c>
      <c r="C87" s="7">
        <v>4.9700000000000001E-2</v>
      </c>
      <c r="D87" s="6">
        <f t="shared" si="6"/>
        <v>1.3036436112666678</v>
      </c>
      <c r="E87" s="6">
        <v>2.024</v>
      </c>
      <c r="F87" s="7">
        <v>0.15479999999999999</v>
      </c>
      <c r="G87" s="6">
        <f t="shared" si="7"/>
        <v>0.8102290436531262</v>
      </c>
    </row>
    <row r="88" spans="1:15" x14ac:dyDescent="0.25">
      <c r="A88" t="s">
        <v>1</v>
      </c>
      <c r="B88" s="6">
        <v>2.85</v>
      </c>
      <c r="C88" s="7">
        <v>9.0999999999999998E-2</v>
      </c>
      <c r="D88" s="6">
        <f t="shared" si="6"/>
        <v>1.0409586076789064</v>
      </c>
      <c r="E88" s="6">
        <v>1.6140000000000001</v>
      </c>
      <c r="F88" s="7">
        <v>0.20399999999999999</v>
      </c>
      <c r="G88" s="6">
        <f t="shared" si="7"/>
        <v>0.69036983257410123</v>
      </c>
    </row>
    <row r="89" spans="1:15" x14ac:dyDescent="0.25">
      <c r="A89" s="8" t="s">
        <v>0</v>
      </c>
      <c r="B89" s="6">
        <v>5.9980000000000002</v>
      </c>
      <c r="C89" s="7">
        <v>1.43E-2</v>
      </c>
      <c r="D89" s="6">
        <f t="shared" si="6"/>
        <v>1.8446639625349381</v>
      </c>
      <c r="E89" s="6">
        <v>6.6909999999999998</v>
      </c>
      <c r="F89" s="7">
        <v>9.7000000000000003E-3</v>
      </c>
      <c r="G89" s="6">
        <f t="shared" si="7"/>
        <v>2.0132282657337552</v>
      </c>
    </row>
    <row r="90" spans="1:15" x14ac:dyDescent="0.25">
      <c r="A90"/>
    </row>
  </sheetData>
  <mergeCells count="6">
    <mergeCell ref="M1:O1"/>
    <mergeCell ref="A1:A2"/>
    <mergeCell ref="B1:D1"/>
    <mergeCell ref="E1:G1"/>
    <mergeCell ref="I1:I2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C8" sqref="C8"/>
    </sheetView>
  </sheetViews>
  <sheetFormatPr defaultRowHeight="15" x14ac:dyDescent="0.25"/>
  <cols>
    <col min="1" max="1" width="21.7109375" customWidth="1"/>
    <col min="2" max="2" width="12" bestFit="1" customWidth="1"/>
  </cols>
  <sheetData>
    <row r="1" spans="1:30" s="8" customFormat="1" x14ac:dyDescent="0.25">
      <c r="A1" s="8" t="s">
        <v>194</v>
      </c>
      <c r="B1" s="16" t="s">
        <v>192</v>
      </c>
      <c r="C1" s="16" t="s">
        <v>182</v>
      </c>
      <c r="D1" s="16" t="s">
        <v>187</v>
      </c>
      <c r="E1" s="16" t="s">
        <v>170</v>
      </c>
      <c r="F1" s="16" t="s">
        <v>164</v>
      </c>
      <c r="G1" s="16" t="s">
        <v>172</v>
      </c>
      <c r="H1" s="16" t="s">
        <v>176</v>
      </c>
      <c r="I1" s="16" t="s">
        <v>189</v>
      </c>
      <c r="J1" s="16" t="s">
        <v>166</v>
      </c>
      <c r="K1" s="16" t="s">
        <v>181</v>
      </c>
      <c r="L1" s="16" t="s">
        <v>188</v>
      </c>
      <c r="M1" s="16" t="s">
        <v>173</v>
      </c>
      <c r="N1" s="16" t="s">
        <v>168</v>
      </c>
      <c r="O1" s="16" t="s">
        <v>180</v>
      </c>
      <c r="P1" s="16" t="s">
        <v>183</v>
      </c>
      <c r="Q1" s="16" t="s">
        <v>163</v>
      </c>
      <c r="R1" s="16" t="s">
        <v>185</v>
      </c>
      <c r="S1" s="16" t="s">
        <v>162</v>
      </c>
      <c r="T1" s="16" t="s">
        <v>167</v>
      </c>
      <c r="U1" s="16" t="s">
        <v>171</v>
      </c>
      <c r="V1" s="16" t="s">
        <v>165</v>
      </c>
      <c r="W1" s="16" t="s">
        <v>179</v>
      </c>
      <c r="X1" s="16" t="s">
        <v>177</v>
      </c>
      <c r="Y1" s="16" t="s">
        <v>178</v>
      </c>
      <c r="Z1" s="16" t="s">
        <v>184</v>
      </c>
      <c r="AA1" s="16" t="s">
        <v>186</v>
      </c>
      <c r="AB1" s="16" t="s">
        <v>169</v>
      </c>
      <c r="AC1" s="16" t="s">
        <v>175</v>
      </c>
      <c r="AD1" s="16" t="s">
        <v>174</v>
      </c>
    </row>
    <row r="2" spans="1:30" s="5" customFormat="1" x14ac:dyDescent="0.25">
      <c r="A2" s="8" t="s">
        <v>190</v>
      </c>
      <c r="B2" s="15">
        <v>4.55</v>
      </c>
      <c r="C2" s="15">
        <v>2.27</v>
      </c>
      <c r="D2" s="15">
        <v>0.64</v>
      </c>
      <c r="E2" s="15">
        <v>1.65</v>
      </c>
      <c r="F2" s="15">
        <v>1.88</v>
      </c>
      <c r="G2" s="15">
        <v>1.66</v>
      </c>
      <c r="H2" s="15">
        <v>1.78</v>
      </c>
      <c r="I2" s="15">
        <v>1.47</v>
      </c>
      <c r="J2" s="15">
        <v>0.62</v>
      </c>
      <c r="K2" s="15">
        <v>0.65</v>
      </c>
      <c r="L2" s="15">
        <v>0.67</v>
      </c>
      <c r="M2" s="15">
        <v>1.31</v>
      </c>
      <c r="N2" s="15">
        <v>1.37</v>
      </c>
      <c r="O2" s="15">
        <v>0.65</v>
      </c>
      <c r="P2" s="15">
        <v>0.7</v>
      </c>
      <c r="Q2" s="15">
        <v>0.6</v>
      </c>
      <c r="R2" s="15">
        <v>1.27</v>
      </c>
      <c r="S2" s="15">
        <v>1.4</v>
      </c>
      <c r="T2" s="15">
        <v>0.79</v>
      </c>
      <c r="U2" s="15">
        <v>0.82</v>
      </c>
      <c r="V2" s="15">
        <v>1.31</v>
      </c>
      <c r="W2" s="15">
        <v>0.81</v>
      </c>
      <c r="X2" s="15">
        <v>0.8</v>
      </c>
      <c r="Y2" s="15">
        <v>0.94</v>
      </c>
      <c r="Z2" s="15">
        <v>0.87</v>
      </c>
      <c r="AA2" s="15">
        <v>1.1599999999999999</v>
      </c>
      <c r="AB2" s="15">
        <v>1.1000000000000001</v>
      </c>
      <c r="AC2" s="15">
        <v>0.94</v>
      </c>
      <c r="AD2" s="15">
        <v>0.96</v>
      </c>
    </row>
    <row r="3" spans="1:30" s="5" customFormat="1" x14ac:dyDescent="0.25">
      <c r="A3" s="8" t="s">
        <v>193</v>
      </c>
      <c r="B3" s="15">
        <v>1.33</v>
      </c>
      <c r="C3" s="15">
        <v>0.63</v>
      </c>
      <c r="D3" s="15">
        <v>0.32</v>
      </c>
      <c r="E3" s="15">
        <v>0.72</v>
      </c>
      <c r="F3" s="15">
        <v>0.6</v>
      </c>
      <c r="G3" s="15">
        <v>0.62</v>
      </c>
      <c r="H3" s="15">
        <v>0.5</v>
      </c>
      <c r="I3" s="15">
        <v>0.63</v>
      </c>
      <c r="J3" s="15">
        <v>0.21</v>
      </c>
      <c r="K3" s="15">
        <v>0.24</v>
      </c>
      <c r="L3" s="15">
        <v>0.24</v>
      </c>
      <c r="M3" s="15">
        <v>0.62</v>
      </c>
      <c r="N3" s="15">
        <v>0.56999999999999995</v>
      </c>
      <c r="O3" s="15">
        <v>0.19</v>
      </c>
      <c r="P3" s="15">
        <v>0.25</v>
      </c>
      <c r="Q3" s="15">
        <v>0.14000000000000001</v>
      </c>
      <c r="R3" s="15">
        <v>0.55000000000000004</v>
      </c>
      <c r="S3" s="15">
        <v>0.45</v>
      </c>
      <c r="T3" s="15">
        <v>0.33</v>
      </c>
      <c r="U3" s="15">
        <v>0.28999999999999998</v>
      </c>
      <c r="V3" s="15">
        <v>0.31</v>
      </c>
      <c r="W3" s="15">
        <v>0.25</v>
      </c>
      <c r="X3" s="15">
        <v>0.21</v>
      </c>
      <c r="Y3" s="15">
        <v>0.3</v>
      </c>
      <c r="Z3" s="15">
        <v>0.35</v>
      </c>
      <c r="AA3" s="15">
        <v>0.4</v>
      </c>
      <c r="AB3" s="15">
        <v>0.36</v>
      </c>
      <c r="AC3" s="15">
        <v>0.37</v>
      </c>
      <c r="AD3" s="15">
        <v>0.39</v>
      </c>
    </row>
    <row r="4" spans="1:30" s="5" customFormat="1" x14ac:dyDescent="0.25">
      <c r="A4" s="8" t="s">
        <v>191</v>
      </c>
      <c r="B4" s="15">
        <v>15.59</v>
      </c>
      <c r="C4" s="15">
        <v>8.17</v>
      </c>
      <c r="D4" s="15">
        <v>1.29</v>
      </c>
      <c r="E4" s="15">
        <v>3.82</v>
      </c>
      <c r="F4" s="15">
        <v>5.9</v>
      </c>
      <c r="G4" s="15">
        <v>4.49</v>
      </c>
      <c r="H4" s="15">
        <v>6.31</v>
      </c>
      <c r="I4" s="15">
        <v>3.43</v>
      </c>
      <c r="J4" s="15">
        <v>1.86</v>
      </c>
      <c r="K4" s="15">
        <v>1.79</v>
      </c>
      <c r="L4" s="15">
        <v>1.86</v>
      </c>
      <c r="M4" s="15">
        <v>2.78</v>
      </c>
      <c r="N4" s="15">
        <v>3.32</v>
      </c>
      <c r="O4" s="15">
        <v>2.25</v>
      </c>
      <c r="P4" s="15">
        <v>1.95</v>
      </c>
      <c r="Q4" s="15">
        <v>2.54</v>
      </c>
      <c r="R4" s="15">
        <v>2.93</v>
      </c>
      <c r="S4" s="15">
        <v>4.4000000000000004</v>
      </c>
      <c r="T4" s="15">
        <v>1.91</v>
      </c>
      <c r="U4" s="15">
        <v>2.34</v>
      </c>
      <c r="V4" s="15">
        <v>5.56</v>
      </c>
      <c r="W4" s="15">
        <v>2.59</v>
      </c>
      <c r="X4" s="15">
        <v>2.99</v>
      </c>
      <c r="Y4" s="15">
        <v>2.93</v>
      </c>
      <c r="Z4" s="15">
        <v>2.15</v>
      </c>
      <c r="AA4" s="15">
        <v>3.41</v>
      </c>
      <c r="AB4" s="15">
        <v>3.35</v>
      </c>
      <c r="AC4" s="15">
        <v>2.35</v>
      </c>
      <c r="AD4" s="15">
        <v>2.37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F16" sqref="F16"/>
    </sheetView>
  </sheetViews>
  <sheetFormatPr defaultRowHeight="15" x14ac:dyDescent="0.25"/>
  <cols>
    <col min="1" max="1" width="14.85546875" bestFit="1" customWidth="1"/>
    <col min="2" max="2" width="10.28515625" bestFit="1" customWidth="1"/>
    <col min="3" max="3" width="13.28515625" bestFit="1" customWidth="1"/>
  </cols>
  <sheetData>
    <row r="1" spans="1:5" x14ac:dyDescent="0.25">
      <c r="A1" s="8" t="s">
        <v>161</v>
      </c>
      <c r="B1" s="8" t="s">
        <v>160</v>
      </c>
      <c r="C1" s="8" t="s">
        <v>159</v>
      </c>
      <c r="D1" s="8"/>
      <c r="E1" s="8"/>
    </row>
    <row r="2" spans="1:5" x14ac:dyDescent="0.25">
      <c r="A2" t="s">
        <v>158</v>
      </c>
      <c r="B2">
        <v>45</v>
      </c>
      <c r="C2">
        <v>77.7777777777778</v>
      </c>
    </row>
    <row r="3" spans="1:5" x14ac:dyDescent="0.25">
      <c r="A3" t="s">
        <v>157</v>
      </c>
      <c r="B3">
        <v>43</v>
      </c>
      <c r="C3">
        <v>72.093023255813904</v>
      </c>
    </row>
    <row r="4" spans="1:5" x14ac:dyDescent="0.25">
      <c r="A4" t="s">
        <v>156</v>
      </c>
      <c r="B4">
        <v>45</v>
      </c>
      <c r="C4">
        <v>68.8888888888889</v>
      </c>
    </row>
    <row r="5" spans="1:5" x14ac:dyDescent="0.25">
      <c r="A5" t="s">
        <v>155</v>
      </c>
      <c r="B5">
        <v>44</v>
      </c>
      <c r="C5">
        <v>70.454545454545496</v>
      </c>
    </row>
    <row r="6" spans="1:5" x14ac:dyDescent="0.25">
      <c r="A6" t="s">
        <v>154</v>
      </c>
      <c r="B6">
        <v>48</v>
      </c>
      <c r="C6">
        <v>83.3333333333333</v>
      </c>
    </row>
    <row r="7" spans="1:5" x14ac:dyDescent="0.25">
      <c r="A7" t="s">
        <v>153</v>
      </c>
      <c r="B7">
        <v>49</v>
      </c>
      <c r="C7">
        <v>77.551020408163296</v>
      </c>
    </row>
    <row r="8" spans="1:5" x14ac:dyDescent="0.25">
      <c r="A8" t="s">
        <v>152</v>
      </c>
      <c r="B8">
        <v>40</v>
      </c>
      <c r="C8">
        <v>87.5</v>
      </c>
    </row>
    <row r="9" spans="1:5" x14ac:dyDescent="0.25">
      <c r="A9" t="s">
        <v>151</v>
      </c>
      <c r="B9">
        <v>43</v>
      </c>
      <c r="C9">
        <v>72.093023255813904</v>
      </c>
    </row>
    <row r="10" spans="1:5" x14ac:dyDescent="0.25">
      <c r="A10" t="s">
        <v>150</v>
      </c>
      <c r="B10">
        <v>40</v>
      </c>
      <c r="C10">
        <v>75</v>
      </c>
    </row>
    <row r="11" spans="1:5" x14ac:dyDescent="0.25">
      <c r="A11" t="s">
        <v>149</v>
      </c>
      <c r="B11">
        <v>74</v>
      </c>
      <c r="C11">
        <v>85.135135135135101</v>
      </c>
    </row>
    <row r="12" spans="1:5" x14ac:dyDescent="0.25">
      <c r="A12" t="s">
        <v>148</v>
      </c>
      <c r="B12">
        <v>45</v>
      </c>
      <c r="C12">
        <v>82.2222222222222</v>
      </c>
    </row>
    <row r="13" spans="1:5" x14ac:dyDescent="0.25">
      <c r="A13" t="s">
        <v>147</v>
      </c>
      <c r="B13">
        <v>36</v>
      </c>
      <c r="C13">
        <v>80.5555555555556</v>
      </c>
    </row>
    <row r="14" spans="1:5" x14ac:dyDescent="0.25">
      <c r="A14" t="s">
        <v>146</v>
      </c>
      <c r="B14">
        <v>47</v>
      </c>
      <c r="C14">
        <v>78.723404255319195</v>
      </c>
    </row>
    <row r="15" spans="1:5" x14ac:dyDescent="0.25">
      <c r="A15" t="s">
        <v>145</v>
      </c>
      <c r="B15">
        <v>50</v>
      </c>
      <c r="C15">
        <v>88</v>
      </c>
    </row>
    <row r="16" spans="1:5" x14ac:dyDescent="0.25">
      <c r="A16" t="s">
        <v>144</v>
      </c>
      <c r="B16">
        <v>50</v>
      </c>
      <c r="C16">
        <v>84</v>
      </c>
    </row>
    <row r="17" spans="1:3" x14ac:dyDescent="0.25">
      <c r="A17" t="s">
        <v>143</v>
      </c>
      <c r="B17">
        <v>43</v>
      </c>
      <c r="C17">
        <v>81.395348837209298</v>
      </c>
    </row>
    <row r="18" spans="1:3" x14ac:dyDescent="0.25">
      <c r="A18" t="s">
        <v>142</v>
      </c>
      <c r="B18">
        <v>43</v>
      </c>
      <c r="C18">
        <v>69.767441860465098</v>
      </c>
    </row>
    <row r="19" spans="1:3" x14ac:dyDescent="0.25">
      <c r="A19" t="s">
        <v>141</v>
      </c>
      <c r="B19">
        <v>53</v>
      </c>
      <c r="C19">
        <v>73.584905660377402</v>
      </c>
    </row>
    <row r="20" spans="1:3" x14ac:dyDescent="0.25">
      <c r="A20" t="s">
        <v>140</v>
      </c>
      <c r="B20">
        <v>48</v>
      </c>
      <c r="C20">
        <v>75</v>
      </c>
    </row>
    <row r="21" spans="1:3" x14ac:dyDescent="0.25">
      <c r="A21" t="s">
        <v>139</v>
      </c>
      <c r="B21">
        <v>34</v>
      </c>
      <c r="C21">
        <v>76.470588235294102</v>
      </c>
    </row>
    <row r="22" spans="1:3" x14ac:dyDescent="0.25">
      <c r="A22" t="s">
        <v>138</v>
      </c>
      <c r="B22">
        <v>42</v>
      </c>
      <c r="C22">
        <v>80.952380952380906</v>
      </c>
    </row>
    <row r="23" spans="1:3" x14ac:dyDescent="0.25">
      <c r="A23" t="s">
        <v>137</v>
      </c>
      <c r="B23">
        <v>39</v>
      </c>
      <c r="C23">
        <v>71.794871794871796</v>
      </c>
    </row>
    <row r="24" spans="1:3" x14ac:dyDescent="0.25">
      <c r="A24" t="s">
        <v>136</v>
      </c>
      <c r="B24">
        <v>36</v>
      </c>
      <c r="C24">
        <v>86.1111111111111</v>
      </c>
    </row>
    <row r="25" spans="1:3" x14ac:dyDescent="0.25">
      <c r="A25" t="s">
        <v>135</v>
      </c>
      <c r="B25">
        <v>48</v>
      </c>
      <c r="C25">
        <v>83.3333333333333</v>
      </c>
    </row>
    <row r="26" spans="1:3" x14ac:dyDescent="0.25">
      <c r="A26" t="s">
        <v>134</v>
      </c>
      <c r="B26">
        <v>36</v>
      </c>
      <c r="C26">
        <v>72.2222222222222</v>
      </c>
    </row>
    <row r="27" spans="1:3" x14ac:dyDescent="0.25">
      <c r="A27" t="s">
        <v>133</v>
      </c>
      <c r="B27">
        <v>40</v>
      </c>
      <c r="C27">
        <v>72.5</v>
      </c>
    </row>
    <row r="28" spans="1:3" x14ac:dyDescent="0.25">
      <c r="A28" t="s">
        <v>132</v>
      </c>
      <c r="B28">
        <v>41</v>
      </c>
      <c r="C28">
        <v>82.926829268292707</v>
      </c>
    </row>
    <row r="29" spans="1:3" x14ac:dyDescent="0.25">
      <c r="A29" t="s">
        <v>131</v>
      </c>
      <c r="B29">
        <v>51</v>
      </c>
      <c r="C29">
        <v>66.6666666666667</v>
      </c>
    </row>
    <row r="30" spans="1:3" x14ac:dyDescent="0.25">
      <c r="A30" t="s">
        <v>130</v>
      </c>
      <c r="B30">
        <v>53</v>
      </c>
      <c r="C30">
        <v>83.018867924528294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Fig_2A_B Fig_S4</vt:lpstr>
      <vt:lpstr>Fig_2_C</vt:lpstr>
      <vt:lpstr>Fig_2_D</vt:lpstr>
    </vt:vector>
  </TitlesOfParts>
  <Company>Weizmann Institute of Sceince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Iddo Magen</dc:creator>
  <cp:lastModifiedBy>Iddo Magen</cp:lastModifiedBy>
  <dcterms:created xsi:type="dcterms:W3CDTF">2021-08-02T08:53:31Z</dcterms:created>
  <dcterms:modified xsi:type="dcterms:W3CDTF">2021-08-03T08:47:47Z</dcterms:modified>
</cp:coreProperties>
</file>